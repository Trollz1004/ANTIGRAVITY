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11/relationships/webextensiontaskpanes" Target="xl/webextensions/taskpanes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mc:AlternateContent xmlns:mc="http://schemas.openxmlformats.org/markup-compatibility/2006">
    <mc:Choice Requires="x15">
      <x15ac:absPath xmlns:x15ac="http://schemas.microsoft.com/office/spreadsheetml/2010/11/ac" url="https://d.docs.live.net/55ecb788cb0de816/e-commerce-orchestrator-v2/Documents/"/>
    </mc:Choice>
  </mc:AlternateContent>
  <xr:revisionPtr revIDLastSave="1575" documentId="8_{67FD87AB-26F2-4E21-B5DF-5F7676CF98BA}" xr6:coauthVersionLast="47" xr6:coauthVersionMax="47" xr10:uidLastSave="{8E075B69-49A0-4CEA-835B-28D6E2F8A72D}"/>
  <bookViews>
    <workbookView xWindow="2652" yWindow="2652" windowWidth="17280" windowHeight="9072" tabRatio="500" firstSheet="1" xr2:uid="{00000000-000D-0000-FFFF-FFFF00000000}"/>
  </bookViews>
  <sheets>
    <sheet name="Reddit Communities" sheetId="1" r:id="rId1"/>
    <sheet name="Discord Servers" sheetId="2" r:id="rId2"/>
    <sheet name="Social Media Hashtags" sheetId="3" r:id="rId3"/>
    <sheet name="Launch Directories" sheetId="4" r:id="rId4"/>
    <sheet name="🚀 Submission Tracker" sheetId="11" r:id="rId5"/>
    <sheet name="📅 Content Calendar" sheetId="12" r:id="rId6"/>
    <sheet name="🤖 Prompt Generator" sheetId="13" r:id="rId7"/>
    <sheet name="Facebook Groups" sheetId="5" r:id="rId8"/>
    <sheet name="Email Marketing (Legal)" sheetId="6" r:id="rId9"/>
    <sheet name="Other Communities" sheetId="7" r:id="rId10"/>
    <sheet name="30-Day Growth Plan" sheetId="8" r:id="rId11"/>
    <sheet name="AI vs Human Tasks" sheetId="9" r:id="rId12"/>
    <sheet name="Agent Documentation" sheetId="10" r:id="rId13"/>
  </sheets>
  <calcPr calcId="191028" iterate="1" iterateCount="1000" iterateDelta="0.0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2" l="1"/>
  <c r="H10" i="2"/>
  <c r="H9" i="2"/>
  <c r="H8" i="2"/>
  <c r="H7" i="2"/>
  <c r="H6" i="2"/>
  <c r="H5" i="2"/>
  <c r="H4" i="2"/>
  <c r="H3" i="2"/>
  <c r="H2" i="2"/>
  <c r="F11" i="2"/>
  <c r="F10" i="2"/>
  <c r="F9" i="2"/>
  <c r="F8" i="2"/>
  <c r="F7" i="2"/>
  <c r="F6" i="2"/>
  <c r="F5" i="2"/>
  <c r="F4" i="2"/>
  <c r="F3" i="2"/>
  <c r="F2" i="2"/>
  <c r="H11" i="1"/>
  <c r="H10" i="1"/>
  <c r="H9" i="1"/>
  <c r="H8" i="1"/>
  <c r="H7" i="1"/>
  <c r="H6" i="1"/>
  <c r="H5" i="1"/>
  <c r="H4" i="1"/>
  <c r="H3" i="1"/>
  <c r="H2" i="1"/>
  <c r="G11" i="1"/>
  <c r="G10" i="1"/>
  <c r="G9" i="1"/>
  <c r="G8" i="1"/>
  <c r="G7" i="1"/>
  <c r="G6" i="1"/>
  <c r="G5" i="1"/>
  <c r="G4" i="1"/>
  <c r="G3" i="1"/>
  <c r="G2" i="1"/>
  <c r="A14" i="13"/>
  <c r="B44" i="12"/>
  <c r="B43" i="12"/>
  <c r="B42" i="12"/>
  <c r="B41" i="12"/>
  <c r="B40" i="12"/>
  <c r="C39" i="12"/>
  <c r="B39" i="12"/>
  <c r="C35" i="12"/>
  <c r="B35" i="12"/>
  <c r="C34" i="12"/>
  <c r="B34" i="12"/>
  <c r="C33" i="12"/>
  <c r="B33" i="12"/>
  <c r="C32" i="12"/>
  <c r="B32" i="12"/>
  <c r="C31" i="12"/>
  <c r="B31" i="12"/>
  <c r="C30" i="12"/>
  <c r="B30" i="12"/>
  <c r="C29" i="12"/>
  <c r="B29" i="12"/>
  <c r="C28" i="12"/>
  <c r="B28" i="12"/>
  <c r="C27" i="12"/>
  <c r="B27" i="12"/>
  <c r="C26" i="12"/>
  <c r="B26" i="12"/>
  <c r="C25" i="12"/>
  <c r="B25" i="12"/>
  <c r="C24" i="12"/>
  <c r="B24" i="12"/>
  <c r="C23" i="12"/>
  <c r="B23" i="12"/>
  <c r="C22" i="12"/>
  <c r="B22" i="12"/>
  <c r="C21" i="12"/>
  <c r="B21" i="12"/>
  <c r="C20" i="12"/>
  <c r="B20" i="12"/>
  <c r="C19" i="12"/>
  <c r="B19" i="12"/>
  <c r="C18" i="12"/>
  <c r="B18" i="12"/>
  <c r="C17" i="12"/>
  <c r="B17" i="12"/>
  <c r="C16" i="12"/>
  <c r="B16" i="12"/>
  <c r="C15" i="12"/>
  <c r="B15" i="12"/>
  <c r="C14" i="12"/>
  <c r="B14" i="12"/>
  <c r="C13" i="12"/>
  <c r="B13" i="12"/>
  <c r="C12" i="12"/>
  <c r="B12" i="12"/>
  <c r="C11" i="12"/>
  <c r="B11" i="12"/>
  <c r="C10" i="12"/>
  <c r="B10" i="12"/>
  <c r="C9" i="12"/>
  <c r="B9" i="12"/>
  <c r="C8" i="12"/>
  <c r="B8" i="12"/>
  <c r="C7" i="12"/>
  <c r="B7" i="12"/>
  <c r="C6" i="12"/>
  <c r="B6" i="12"/>
  <c r="B26" i="11"/>
  <c r="B25" i="11"/>
  <c r="C24" i="11"/>
  <c r="B24" i="11"/>
  <c r="C21" i="11"/>
  <c r="B21" i="11"/>
  <c r="C20" i="11"/>
  <c r="B20" i="11"/>
  <c r="C19" i="11"/>
  <c r="B19" i="11"/>
  <c r="H14" i="11"/>
  <c r="H13" i="11"/>
  <c r="H12" i="11"/>
  <c r="H11" i="11"/>
  <c r="H10" i="11"/>
  <c r="H9" i="11"/>
  <c r="H8" i="11"/>
  <c r="H7" i="11"/>
  <c r="H6" i="11"/>
  <c r="H5" i="11"/>
  <c r="G14" i="11"/>
  <c r="G13" i="11"/>
  <c r="G12" i="11"/>
  <c r="G11" i="11"/>
  <c r="G10" i="11"/>
  <c r="G9" i="11"/>
  <c r="G8" i="11"/>
  <c r="G7" i="11"/>
  <c r="G6" i="11"/>
  <c r="G5" i="11"/>
  <c r="H64" i="8"/>
  <c r="H63" i="8"/>
  <c r="H62" i="8"/>
  <c r="H60" i="8"/>
  <c r="H59" i="8"/>
  <c r="H58" i="8"/>
  <c r="G64" i="8"/>
  <c r="G63" i="8"/>
  <c r="G62" i="8"/>
  <c r="G60" i="8"/>
  <c r="G59" i="8"/>
  <c r="G58" i="8"/>
  <c r="A159" i="10" a="1"/>
  <c r="A159" i="10"/>
  <c r="A160" i="10" a="1"/>
  <c r="A160" i="10"/>
  <c r="A161" i="10" a="1"/>
  <c r="A161" i="10"/>
  <c r="A162" i="10" a="1"/>
  <c r="A162" i="10"/>
  <c r="A166" i="10" a="1"/>
  <c r="A166" i="10"/>
  <c r="A168" i="10" a="1"/>
  <c r="A168" i="10"/>
  <c r="A169" i="10" a="1"/>
  <c r="A169" i="10"/>
  <c r="A170" i="10" a="1"/>
  <c r="A170" i="10"/>
  <c r="A27" i="10" a="1"/>
  <c r="A27" i="10"/>
  <c r="A28" i="10" a="1"/>
  <c r="A28" i="10"/>
  <c r="A29" i="10" a="1"/>
  <c r="A29" i="10"/>
  <c r="A31" i="10" a="1"/>
  <c r="A31" i="10"/>
  <c r="A32" i="10" a="1"/>
  <c r="A32" i="10"/>
  <c r="A33" i="10" a="1"/>
  <c r="A33" i="10"/>
  <c r="A36" i="10" a="1"/>
  <c r="A36" i="10"/>
  <c r="A37" i="10" a="1"/>
  <c r="A37" i="10"/>
  <c r="A38" i="10" a="1"/>
  <c r="A38" i="10"/>
  <c r="A39" i="10" a="1"/>
  <c r="A39" i="10"/>
  <c r="A40" i="10" a="1"/>
  <c r="A40" i="10"/>
  <c r="B23" i="11" l="1"/>
  <c r="C23" i="11" s="1"/>
  <c r="B22" i="11"/>
  <c r="C22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<sst xmlns="http://schemas.openxmlformats.org/spreadsheetml/2006/main" count="1302" uniqueCount="960">
  <si>
    <t>Platform</t>
  </si>
  <si>
    <t>Community Name</t>
  </si>
  <si>
    <t>Members/Subscribers</t>
  </si>
  <si>
    <t>URL</t>
  </si>
  <si>
    <t>Engagement Level</t>
  </si>
  <si>
    <t>Best Use Case</t>
  </si>
  <si>
    <t>Priority Score</t>
  </si>
  <si>
    <t>Action</t>
  </si>
  <si>
    <t>Joined? (Y/N)</t>
  </si>
  <si>
    <t>Karma / Status</t>
  </si>
  <si>
    <t>Reddit</t>
  </si>
  <si>
    <t>r/Tinder</t>
  </si>
  <si>
    <t>5,910,865</t>
  </si>
  <si>
    <t>https://www.reddit.com/r/Tinder/</t>
  </si>
  <si>
    <t>Very High</t>
  </si>
  <si>
    <t>Share app, get feedback, engage discussions</t>
  </si>
  <si>
    <t>N</t>
  </si>
  <si>
    <t>New</t>
  </si>
  <si>
    <t>r/dating</t>
  </si>
  <si>
    <t>789,638+</t>
  </si>
  <si>
    <t>https://www.reddit.com/r/dating/</t>
  </si>
  <si>
    <t>High</t>
  </si>
  <si>
    <t>Relationship discussions, app mentions</t>
  </si>
  <si>
    <t>r/OnlineDating</t>
  </si>
  <si>
    <t>250,000+</t>
  </si>
  <si>
    <t>https://www.reddit.com/r/OnlineDating/</t>
  </si>
  <si>
    <t>Direct target audience for dating apps</t>
  </si>
  <si>
    <t>r/r4r</t>
  </si>
  <si>
    <t>789,638</t>
  </si>
  <si>
    <t>https://www.reddit.com/r/r4r/</t>
  </si>
  <si>
    <t>Singles looking to connect</t>
  </si>
  <si>
    <t>r/DatingApps</t>
  </si>
  <si>
    <t>100,000+</t>
  </si>
  <si>
    <t>https://www.reddit.com/r/DatingApps/</t>
  </si>
  <si>
    <t>Medium-High</t>
  </si>
  <si>
    <t>Direct discussions about dating apps</t>
  </si>
  <si>
    <t>r/Singles</t>
  </si>
  <si>
    <t>50,000+</t>
  </si>
  <si>
    <t>https://www.reddit.com/r/Singles/</t>
  </si>
  <si>
    <t>Medium</t>
  </si>
  <si>
    <t>Singles community</t>
  </si>
  <si>
    <t>r/OkCupid</t>
  </si>
  <si>
    <t>257,227</t>
  </si>
  <si>
    <t>https://www.reddit.com/r/OkCupid/</t>
  </si>
  <si>
    <t>Dating app discussions</t>
  </si>
  <si>
    <t>r/datingoverthirty</t>
  </si>
  <si>
    <t>500,000+</t>
  </si>
  <si>
    <t>https://www.reddit.com/r/datingoverthirty/</t>
  </si>
  <si>
    <t>30+ demographics</t>
  </si>
  <si>
    <t>r/dating_advice</t>
  </si>
  <si>
    <t>5,000,000+</t>
  </si>
  <si>
    <t>https://www.reddit.com/r/dating_advice/</t>
  </si>
  <si>
    <t>Dating tips, app recommendations</t>
  </si>
  <si>
    <t>r/relationship_advice</t>
  </si>
  <si>
    <t>10,000,000+</t>
  </si>
  <si>
    <t>https://www.reddit.com/r/relationship_advice/</t>
  </si>
  <si>
    <t>Huge audience for relationship content</t>
  </si>
  <si>
    <t>Server Name</t>
  </si>
  <si>
    <t>Members</t>
  </si>
  <si>
    <t>Description</t>
  </si>
  <si>
    <t>Engagement</t>
  </si>
  <si>
    <t>Action Frequency</t>
  </si>
  <si>
    <t>Social Paradise</t>
  </si>
  <si>
    <t>900,000+</t>
  </si>
  <si>
    <t>https://disboard.org/servers/tag/dating?sort=-member_count</t>
  </si>
  <si>
    <t>Biggest social/voice server</t>
  </si>
  <si>
    <t>Discord's Most Active</t>
  </si>
  <si>
    <t>705,000+</t>
  </si>
  <si>
    <t>1:1 M/F ratio, 350-500 always active</t>
  </si>
  <si>
    <t>Dating Chat</t>
  </si>
  <si>
    <t>https://discord.gg/edatings</t>
  </si>
  <si>
    <t>LGBTQ+ friendly, active VC</t>
  </si>
  <si>
    <t>BAIT</t>
  </si>
  <si>
    <t>200,000+</t>
  </si>
  <si>
    <t>https://discord.gg/bait</t>
  </si>
  <si>
    <t>E-girls, gaming, social</t>
  </si>
  <si>
    <t>Mommy Server</t>
  </si>
  <si>
    <t>150,000+</t>
  </si>
  <si>
    <t>https://disboard.org/servers/tag/dating</t>
  </si>
  <si>
    <t>Active voice channels</t>
  </si>
  <si>
    <t>18+ Adult Community</t>
  </si>
  <si>
    <t>Verified adult community</t>
  </si>
  <si>
    <t>Chatzone</t>
  </si>
  <si>
    <t>24/7 active, movie nights</t>
  </si>
  <si>
    <t>Apne</t>
  </si>
  <si>
    <t>Gaming, social, chill</t>
  </si>
  <si>
    <t>Allegiance</t>
  </si>
  <si>
    <t>30,000+</t>
  </si>
  <si>
    <t>18+ social, 1:1 ratio</t>
  </si>
  <si>
    <t>DateRoom</t>
  </si>
  <si>
    <t>https://thehiveindex.com/topics/dating/</t>
  </si>
  <si>
    <t>#1 fastest growing dating server</t>
  </si>
  <si>
    <t>Hashtag/Topic</t>
  </si>
  <si>
    <t>Reach/Views</t>
  </si>
  <si>
    <t>Best Practice</t>
  </si>
  <si>
    <t>TikTok</t>
  </si>
  <si>
    <t>#dating</t>
  </si>
  <si>
    <t>28M+ threads</t>
  </si>
  <si>
    <t>https://www.tiktok.com/tag/dating</t>
  </si>
  <si>
    <t>Short video content</t>
  </si>
  <si>
    <t>#datingadvice</t>
  </si>
  <si>
    <t>5B+ views</t>
  </si>
  <si>
    <t>https://www.tiktok.com/tag/datingadvice</t>
  </si>
  <si>
    <t>Tips and advice content</t>
  </si>
  <si>
    <t>#relationshipgoals</t>
  </si>
  <si>
    <t>10B+ views</t>
  </si>
  <si>
    <t>https://www.tiktok.com/tag/relationshipgoals</t>
  </si>
  <si>
    <t>Aspirational content</t>
  </si>
  <si>
    <t>#onlinedating</t>
  </si>
  <si>
    <t>2B+ views</t>
  </si>
  <si>
    <t>https://www.tiktok.com/tag/onlinedating</t>
  </si>
  <si>
    <t>Direct app promotion</t>
  </si>
  <si>
    <t>#datingapps</t>
  </si>
  <si>
    <t>500M+ views</t>
  </si>
  <si>
    <t>https://www.tiktok.com/tag/datingapps</t>
  </si>
  <si>
    <t>App reviews/features</t>
  </si>
  <si>
    <t>Threads</t>
  </si>
  <si>
    <t>28M threads</t>
  </si>
  <si>
    <t>https://www.threads.com/tag/dating</t>
  </si>
  <si>
    <t>Trending discussions</t>
  </si>
  <si>
    <t>@thepureapp</t>
  </si>
  <si>
    <t>10.9K followers</t>
  </si>
  <si>
    <t>https://www.threads.com/@thepureapp</t>
  </si>
  <si>
    <t>Dating app example</t>
  </si>
  <si>
    <t>Instagram</t>
  </si>
  <si>
    <t>50M+ posts</t>
  </si>
  <si>
    <t>https://www.instagram.com/explore/tags/dating/</t>
  </si>
  <si>
    <t>Visual content</t>
  </si>
  <si>
    <t>100M+ posts</t>
  </si>
  <si>
    <t>https://www.instagram.com/explore/tags/relationshipgoals/</t>
  </si>
  <si>
    <t>Couple content</t>
  </si>
  <si>
    <t>#love</t>
  </si>
  <si>
    <t>2B+ posts</t>
  </si>
  <si>
    <t>https://www.instagram.com/explore/tags/love/</t>
  </si>
  <si>
    <t>Universal appeal</t>
  </si>
  <si>
    <t>#singlelife</t>
  </si>
  <si>
    <t>10M+ posts</t>
  </si>
  <si>
    <t>https://www.instagram.com/explore/tags/singlelife/</t>
  </si>
  <si>
    <t>Target singles</t>
  </si>
  <si>
    <t>X/Twitter</t>
  </si>
  <si>
    <t>Trending</t>
  </si>
  <si>
    <t>https://x.com/hashtag/datingadvice</t>
  </si>
  <si>
    <t>Real-time engagement</t>
  </si>
  <si>
    <t>Active</t>
  </si>
  <si>
    <t>https://x.com/hashtag/onlinedating</t>
  </si>
  <si>
    <t>Dating discussions</t>
  </si>
  <si>
    <t>@HashtagDatingHQ</t>
  </si>
  <si>
    <t>https://x.com/hashtagdatinghq</t>
  </si>
  <si>
    <t>Dating community account</t>
  </si>
  <si>
    <t>Type</t>
  </si>
  <si>
    <t>Cost</t>
  </si>
  <si>
    <t>Audience Size</t>
  </si>
  <si>
    <t>Notes</t>
  </si>
  <si>
    <t>Product Hunt</t>
  </si>
  <si>
    <t>Launch Platform</t>
  </si>
  <si>
    <t>Free</t>
  </si>
  <si>
    <t>https://www.producthunt.com/launch</t>
  </si>
  <si>
    <t>4M+ monthly</t>
  </si>
  <si>
    <t>Best for tech-savvy early adopters</t>
  </si>
  <si>
    <t>BetaList</t>
  </si>
  <si>
    <t>Startup Directory</t>
  </si>
  <si>
    <t>Free (queue)</t>
  </si>
  <si>
    <t>https://betalist.com/submit</t>
  </si>
  <si>
    <t>500K+</t>
  </si>
  <si>
    <t>Early-stage startup discovery</t>
  </si>
  <si>
    <t>StartupBase</t>
  </si>
  <si>
    <t>https://startupbase.io/</t>
  </si>
  <si>
    <t>100K+</t>
  </si>
  <si>
    <t>Daily startup discovery</t>
  </si>
  <si>
    <t>Hacker News</t>
  </si>
  <si>
    <t>Show HN</t>
  </si>
  <si>
    <t>https://news.ycombinator.com/showhn.html</t>
  </si>
  <si>
    <t>10M+ monthly</t>
  </si>
  <si>
    <t>Tech community, viral potential</t>
  </si>
  <si>
    <t>Indie Hackers</t>
  </si>
  <si>
    <t>Community</t>
  </si>
  <si>
    <t>https://www.indiehackers.com/</t>
  </si>
  <si>
    <t>Founder community support</t>
  </si>
  <si>
    <t>MicroLaunch</t>
  </si>
  <si>
    <t>Directory</t>
  </si>
  <si>
    <t>https://microlaunch.net/</t>
  </si>
  <si>
    <t>50K+</t>
  </si>
  <si>
    <t>Small startup launches</t>
  </si>
  <si>
    <t>KillerStartups</t>
  </si>
  <si>
    <t>Free tier</t>
  </si>
  <si>
    <t>https://killerstartups.com/</t>
  </si>
  <si>
    <t>200K+</t>
  </si>
  <si>
    <t>Startup reviews</t>
  </si>
  <si>
    <t>Startup Ranking</t>
  </si>
  <si>
    <t>https://www.startupranking.com/</t>
  </si>
  <si>
    <t>Ranking visibility</t>
  </si>
  <si>
    <t>AlternativeTo</t>
  </si>
  <si>
    <t>App Alternative</t>
  </si>
  <si>
    <t>https://alternativeto.net/</t>
  </si>
  <si>
    <t>5M+ monthly</t>
  </si>
  <si>
    <t>List as Tinder/Bumble alternative</t>
  </si>
  <si>
    <t>SaaSHub</t>
  </si>
  <si>
    <t>Software Hub</t>
  </si>
  <si>
    <t>https://www.saashub.com/</t>
  </si>
  <si>
    <t>1M+</t>
  </si>
  <si>
    <t>Software discovery</t>
  </si>
  <si>
    <t>🚀 youandinotai.com — Launch Directory Submission Tracker</t>
  </si>
  <si>
    <t>Auto-calculates submission progress, days since submitted, and follow-up alerts.</t>
  </si>
  <si>
    <t>Audience</t>
  </si>
  <si>
    <t>Submitted? (Y/N)</t>
  </si>
  <si>
    <t>Date Submitted</t>
  </si>
  <si>
    <t>Days Since Submit</t>
  </si>
  <si>
    <t>Status</t>
  </si>
  <si>
    <t>Live? (Y/N)</t>
  </si>
  <si>
    <t>Visits Generated</t>
  </si>
  <si>
    <t>Signups Generated</t>
  </si>
  <si>
    <t>Hacker News (Show HN)</t>
  </si>
  <si>
    <t>📊 SUMMARY DASHBOARD</t>
  </si>
  <si>
    <t>Metric</t>
  </si>
  <si>
    <t>Count</t>
  </si>
  <si>
    <t>% of Total</t>
  </si>
  <si>
    <t>Total Platforms</t>
  </si>
  <si>
    <t>Submitted</t>
  </si>
  <si>
    <t>Gone Live</t>
  </si>
  <si>
    <t>Awaiting Review</t>
  </si>
  <si>
    <t>Need Follow-Up</t>
  </si>
  <si>
    <t>Not Yet Submitted</t>
  </si>
  <si>
    <t>Total Visits Driven</t>
  </si>
  <si>
    <t>Total Signups Driven</t>
  </si>
  <si>
    <t>📅 youandinotai.com — 30-Day Content Calendar</t>
  </si>
  <si>
    <t>Enter your campaign start date in B2 → all dates auto-populate. Log what you posted each day!</t>
  </si>
  <si>
    <t>Campaign Start Date:</t>
  </si>
  <si>
    <t>Day</t>
  </si>
  <si>
    <t>Date</t>
  </si>
  <si>
    <t>Day of Week</t>
  </si>
  <si>
    <t>Suggested Action</t>
  </si>
  <si>
    <t>Hashtags / Community</t>
  </si>
  <si>
    <t>Done? (Y/N)</t>
  </si>
  <si>
    <t>Engagements</t>
  </si>
  <si>
    <t>Signups</t>
  </si>
  <si>
    <t>Join 5 subreddits. Lurk, upvote, read rules. No promotion yet.</t>
  </si>
  <si>
    <t>r/Tinder, r/dating, r/OnlineDating, r/DatingApps, r/dating_advice</t>
  </si>
  <si>
    <t>Discord</t>
  </si>
  <si>
    <t>Join 3 servers. Post intro: name, hobby, building youandinotai.com.</t>
  </si>
  <si>
    <t>Social Paradise, Discord's Most Active, Dating Chat</t>
  </si>
  <si>
    <t>TikTok + Instagram</t>
  </si>
  <si>
    <t>Post 1 short-form video: 'What makes youandinotai.com different?' Hook in first 2 sec.</t>
  </si>
  <si>
    <t>#datingapps #onlinedating #datingadvice</t>
  </si>
  <si>
    <t>Comment 3-5x on hot posts. Be helpful. No promotion. Answer dating questions.</t>
  </si>
  <si>
    <t>r/relationship_advice, r/dating_advice</t>
  </si>
  <si>
    <t>Launch Directories</t>
  </si>
  <si>
    <t>Submit to BetaList + StartupBase. Write a compelling 100-word app description.</t>
  </si>
  <si>
    <t>betalist.com/submit | startupbase.io</t>
  </si>
  <si>
    <t>Comment 5x. Try answering a profile review post with genuine tips.</t>
  </si>
  <si>
    <t>r/Tinder, r/OkCupid</t>
  </si>
  <si>
    <t>Threads + X/Twitter</t>
  </si>
  <si>
    <t>Post a dating insight or poll. Engage replies. Build following.</t>
  </si>
  <si>
    <t>#dating #singlelife @HashtagDatingHQ</t>
  </si>
  <si>
    <t>Week 2: Increase to 5-8 helpful comments/day. Answer questions deeply.</t>
  </si>
  <si>
    <t>r/datingoverthirty, r/Singles</t>
  </si>
  <si>
    <t>Join voice chat for 30 min. Help newcomers. Build actual friendships.</t>
  </si>
  <si>
    <t>Social Paradise voice channels</t>
  </si>
  <si>
    <t>Post video: 'Dating app red flags &amp; green flags.' Mention youandinotai naturally.</t>
  </si>
  <si>
    <t>#datingadvice #relationshipgoals #datingapps</t>
  </si>
  <si>
    <t>Submit to MicroLaunch + KillerStartups + Startup Ranking. Reuse description.</t>
  </si>
  <si>
    <t>microlaunch.net | killerstartups.com | startupranking.com</t>
  </si>
  <si>
    <t>Quora</t>
  </si>
  <si>
    <t>Answer 3 Quora questions about dating apps. Soft-mention youandinotai in 1 answer.</t>
  </si>
  <si>
    <t>Quora Relationships Topic (10M+ followers)</t>
  </si>
  <si>
    <t>Facebook Groups</t>
  </si>
  <si>
    <t>Join Facebook Singles Dating (500K) + Dating &amp; Relationship Advice (500K). Introduce.</t>
  </si>
  <si>
    <t>Dating &amp; Relationship Advice | Facebook Singles Dating</t>
  </si>
  <si>
    <t>Post 1 discussion thread: 'What feature would make you switch dating apps?' No promotion.</t>
  </si>
  <si>
    <t>r/DatingApps, r/OnlineDating</t>
  </si>
  <si>
    <t>LAUNCH DAY on Product Hunt! Get 5+ friends to upvote first hour. Engage all comments.</t>
  </si>
  <si>
    <t>producthunt.com/launch — Post at 12:01am PST</t>
  </si>
  <si>
    <t>Post 'Show HN: youandinotai.com — [your tagline]'. Reply to every comment within 1 hr.</t>
  </si>
  <si>
    <t>news.ycombinator.com/showhn.html</t>
  </si>
  <si>
    <t>Soft promote in 2 comments today: 'I actually tried youandinotai.com which does X differently.'</t>
  </si>
  <si>
    <t>r/dating_advice, r/Tinder</t>
  </si>
  <si>
    <t>Post UGC-style video: 'I matched with my actual type for once.' Show app UI subtly.</t>
  </si>
  <si>
    <t>#dating #onlinedating #datingapps #singlelife</t>
  </si>
  <si>
    <t>Share exclusive Discord-only beta invite code in 1 server. Build urgency.</t>
  </si>
  <si>
    <t>Discord's Most Active (705K)</t>
  </si>
  <si>
    <t>AlternativeTo + SaaSHub</t>
  </si>
  <si>
    <t>Submit to AlternativeTo as Tinder/Bumble alternative. Submit to SaaSHub.</t>
  </si>
  <si>
    <t>alternativeto.net | saashub.com</t>
  </si>
  <si>
    <t>Post success story or genuine feedback thread. Ask for input on features.</t>
  </si>
  <si>
    <t>Post your Week 3 journey: what's working, metrics, lessons. Be transparent.</t>
  </si>
  <si>
    <t>indiehackers.com community</t>
  </si>
  <si>
    <t>Email List</t>
  </si>
  <si>
    <t>Send first email blast via Mailchimp/Beehiiv. Subject: 'We launched! Try youandinotai.com free.'</t>
  </si>
  <si>
    <t>mailchimp.com or beehiiv.com</t>
  </si>
  <si>
    <t>Post 'How I got 100 signups in 3 weeks with $0 ad budget' — document the journey.</t>
  </si>
  <si>
    <t>#buildinpublic #startuptok #datingapp</t>
  </si>
  <si>
    <t>Discord + Reddit</t>
  </si>
  <si>
    <t>DM 5 warm leads who commented positively. Offer personal beta invite.</t>
  </si>
  <si>
    <t>All active servers + r/DatingApps</t>
  </si>
  <si>
    <t>Week 4: Post user testimonial or screenshot (with permission). Engage all replies.</t>
  </si>
  <si>
    <t>r/relationship_advice, r/OnlineDating</t>
  </si>
  <si>
    <t>Post a relationship tip in 2 groups. End with 'found success using youandinotai.com.'</t>
  </si>
  <si>
    <t>RELATIONSHIP ADVICE (1M) | Dating Advice for Men (200K)</t>
  </si>
  <si>
    <t>Threads + Instagram</t>
  </si>
  <si>
    <t>Share a Week 4 'build in public' update. Follower count, signups, what surprised you.</t>
  </si>
  <si>
    <t>#buildinpublic #indiedev #datingapp</t>
  </si>
  <si>
    <t>Collect feedback from beta users. Post findings: 'What early users love about our app.'</t>
  </si>
  <si>
    <t>ALL Platforms</t>
  </si>
  <si>
    <t>🎉 DAY 30: Post 30-day retrospective everywhere. Celebrate wins. Ask for referrals + reviews.</t>
  </si>
  <si>
    <t>All platforms simultaneously</t>
  </si>
  <si>
    <t>📊 30-DAY SUMMARY</t>
  </si>
  <si>
    <t>✅ Mark days as 'Y' in column G when complete</t>
  </si>
  <si>
    <t>% Complete</t>
  </si>
  <si>
    <t>🗓 Change start date in B3 — all 30 dates auto-shift</t>
  </si>
  <si>
    <t>Days Completed</t>
  </si>
  <si>
    <t>📊 Log engagements + signups daily to see Best Platform auto-populate</t>
  </si>
  <si>
    <t>Days Remaining</t>
  </si>
  <si>
    <t>🚀 Day 15 = Product Hunt launch (get friends ready to upvote!)</t>
  </si>
  <si>
    <t>Total Engagements</t>
  </si>
  <si>
    <t>Total Signups</t>
  </si>
  <si>
    <t>Avg Engagements/Day</t>
  </si>
  <si>
    <t>Best Platform</t>
  </si>
  <si>
    <t>🤖 youandinotai.com — Daily AI Prompt Generator</t>
  </si>
  <si>
    <t>Fill in the yellow cells → copy the auto-generated prompt → paste into Claude / ChatGPT. Done!</t>
  </si>
  <si>
    <t>⚙️ YOUR INPUTS (edit yellow cells only)</t>
  </si>
  <si>
    <t>Today's Topic / Situation</t>
  </si>
  <si>
    <t>swipe fatigue and low response rates</t>
  </si>
  <si>
    <t>App Unique Feature to Highlight</t>
  </si>
  <si>
    <t>AI-powered compatibility matching</t>
  </si>
  <si>
    <t>Promotion Intensity (low / medium / high)</t>
  </si>
  <si>
    <t>low</t>
  </si>
  <si>
    <t>Tone (casual / professional / empathetic)</t>
  </si>
  <si>
    <t>casual</t>
  </si>
  <si>
    <t>Number of Variations</t>
  </si>
  <si>
    <t>🚀 AUTO-GENERATED PROMPT (copy this entire cell into Claude / ChatGPT)</t>
  </si>
  <si>
    <t>📋 PROMPT LIBRARY — Copy-Paste Ready</t>
  </si>
  <si>
    <t>Use Case</t>
  </si>
  <si>
    <t>Ready-Made Prompt (copy into Claude)</t>
  </si>
  <si>
    <t>Daily Reddit Comments</t>
  </si>
  <si>
    <t>Write 10 Reddit comments for r/dating_advice about [TOPIC]. Make them helpful, casual, vary length. Soft mention youandinotai.com in only 2. Never sound like an ad.</t>
  </si>
  <si>
    <t>Discord Intro (new server)</t>
  </si>
  <si>
    <t>Give me 5 different Discord intro messages for a dating server. I'm building youandinotai.com. Sound friendly and genuine, not salesy. Vary energy levels from chill to enthusiastic.</t>
  </si>
  <si>
    <t>Discord Soft Plug (after rapport)</t>
  </si>
  <si>
    <t>Someone in a Discord dating chat is complaining about Tinder matches not replying. Write 3 casual, empathetic responses that naturally mention youandinotai.com as an alternative I've tried.</t>
  </si>
  <si>
    <t>Handling 'Are you promoting your app?'</t>
  </si>
  <si>
    <t>Someone on Reddit just asked if I'm promoting my own app. Write a transparent, non-defensive reply that's honest, builds trust, and keeps them curious about youandinotai.com.</t>
  </si>
  <si>
    <t>Profile Review with App Mention</t>
  </si>
  <si>
    <t>Help me review someone's Tinder profile. They said: [PASTE PROFILE]. Give 3 genuine tips, then in the last line mention youandinotai.com makes this process easier with [FEATURE].</t>
  </si>
  <si>
    <t>DM Warm Lead Follow-Up</t>
  </si>
  <si>
    <t>Write a friendly DM to someone who positively responded to my comment about dating apps. Goal: invite them to try youandinotai.com. Keep it under 50 words. No pressure, just value.</t>
  </si>
  <si>
    <t>Weekly Strategy Review</t>
  </si>
  <si>
    <t>Based on these stats: [PASTE YOUR KPIs FROM 30-DAY PLAN]. What's working, what should I change about my youandinotai.com organic growth strategy this week? Be specific.</t>
  </si>
  <si>
    <t>TikTok/Instagram Hook Ideas</t>
  </si>
  <si>
    <t>Give me 10 TikTok video hooks about dating apps that would stop the scroll. I want to subtly showcase youandinotai.com. Hooks should make people relate before they realize it's an app promo.</t>
  </si>
  <si>
    <t>Product Hunt Launch Post</t>
  </si>
  <si>
    <t>Write a compelling Product Hunt launch post for youandinotai.com. Include: tagline (max 60 chars), description (max 260 chars), and 3 key bullet points about what makes it different from Tinder/Bumble.</t>
  </si>
  <si>
    <t>Hacker News Show HN Post</t>
  </si>
  <si>
    <t>Write a Show HN post for youandinotai.com. Title must start with 'Show HN:'. Keep it technical and honest. Describe the problem, what we built, and what's unique. About 150 words.</t>
  </si>
  <si>
    <t>Email Newsletter Draft</t>
  </si>
  <si>
    <t>Write a CAN-SPAM compliant launch email for youandinotai.com. Subject line options x3. Body: 150 words max. Friendly tone. One clear CTA: 'Try it free at youandinotai.com'. Include unsubscribe note.</t>
  </si>
  <si>
    <t>Quora Answer (relationship topic)</t>
  </si>
  <si>
    <t>Write a helpful Quora answer about [DATING QUESTION]. Be thorough and genuine. At the end, mention in 1 sentence that youandinotai.com takes a different approach with [FEATURE].</t>
  </si>
  <si>
    <t>Casual Tone Check</t>
  </si>
  <si>
    <t>Rewrite this to sound more casual and human, like a 25-year-old texting a friend: [PASTE YOUR DRAFT]. Keep the meaning. Remove anything that sounds like marketing copy.</t>
  </si>
  <si>
    <t>Respond to Negative Comment</t>
  </si>
  <si>
    <t>Someone commented '[PASTE CRITICISM]' about dating apps in general. Write a thoughtful, non-defensive response that shows empathy and positions youandinotai.com as a solution without being pushy.</t>
  </si>
  <si>
    <t>Group Name</t>
  </si>
  <si>
    <t>Members (est)</t>
  </si>
  <si>
    <t>Focus</t>
  </si>
  <si>
    <t>Dating &amp; Relationship Advice</t>
  </si>
  <si>
    <t>https://www.facebook.com/groups/554021108616989/</t>
  </si>
  <si>
    <t>Advice sharing</t>
  </si>
  <si>
    <t>RELATIONSHIP ADVICE</t>
  </si>
  <si>
    <t>https://www.facebook.com/groups/RELATIONSHIPADVICE2K7/</t>
  </si>
  <si>
    <t>General advice</t>
  </si>
  <si>
    <t>Dating Advice for Men</t>
  </si>
  <si>
    <t>https://www.facebook.com/groups/modernmeet/</t>
  </si>
  <si>
    <t>Men's dating coaching</t>
  </si>
  <si>
    <t>Facebook Singles Dating</t>
  </si>
  <si>
    <t>https://www.facebook.com/groups/309709170838370/</t>
  </si>
  <si>
    <t>Singles meetup</t>
  </si>
  <si>
    <t>American &amp; Canadian Singles</t>
  </si>
  <si>
    <t>300K+</t>
  </si>
  <si>
    <t>https://www.facebook.com/groups/</t>
  </si>
  <si>
    <t>North American singles</t>
  </si>
  <si>
    <t>Are We Dating Same Guy (City)</t>
  </si>
  <si>
    <t>Varies</t>
  </si>
  <si>
    <t>Dating safety/vetting</t>
  </si>
  <si>
    <t>International Dating &amp; Friendship</t>
  </si>
  <si>
    <t>Global connections</t>
  </si>
  <si>
    <t>Spiritual People Dating</t>
  </si>
  <si>
    <t>Niche spiritual dating</t>
  </si>
  <si>
    <t>Free Tier Limit</t>
  </si>
  <si>
    <t>Best For</t>
  </si>
  <si>
    <t>Compliance</t>
  </si>
  <si>
    <t>Mailchimp</t>
  </si>
  <si>
    <t>500 contacts/month</t>
  </si>
  <si>
    <t>https://mailchimp.com/</t>
  </si>
  <si>
    <t>Beginners</t>
  </si>
  <si>
    <t>GDPR/CAN-SPAM compliant</t>
  </si>
  <si>
    <t>Brevo (Sendinblue)</t>
  </si>
  <si>
    <t>300 emails/day</t>
  </si>
  <si>
    <t>https://www.brevo.com/</t>
  </si>
  <si>
    <t>Scaling contacts</t>
  </si>
  <si>
    <t>Full compliance tools</t>
  </si>
  <si>
    <t>Beehiiv</t>
  </si>
  <si>
    <t>2,500 subscribers</t>
  </si>
  <si>
    <t>https://www.beehiiv.com/</t>
  </si>
  <si>
    <t>Newsletter growth</t>
  </si>
  <si>
    <t>Built-in compliance</t>
  </si>
  <si>
    <t>MailerLite</t>
  </si>
  <si>
    <t>1,000 subscribers</t>
  </si>
  <si>
    <t>https://www.mailerlite.com/</t>
  </si>
  <si>
    <t>Simple campaigns</t>
  </si>
  <si>
    <t>GDPR tools</t>
  </si>
  <si>
    <t>Moosend</t>
  </si>
  <si>
    <t>https://moosend.com/</t>
  </si>
  <si>
    <t>Automation</t>
  </si>
  <si>
    <t>Compliance features</t>
  </si>
  <si>
    <t>Sender</t>
  </si>
  <si>
    <t>https://www.sender.net/</t>
  </si>
  <si>
    <t>Small business</t>
  </si>
  <si>
    <t>CAN-SPAM compliant</t>
  </si>
  <si>
    <t>Mailjet</t>
  </si>
  <si>
    <t>6,000 emails/month</t>
  </si>
  <si>
    <t>https://www.mailjet.com/</t>
  </si>
  <si>
    <t>Transactional email</t>
  </si>
  <si>
    <t>Full compliance</t>
  </si>
  <si>
    <t>HubSpot</t>
  </si>
  <si>
    <t>2,000 emails/month</t>
  </si>
  <si>
    <t>https://www.hubspot.com/</t>
  </si>
  <si>
    <t>CRM integration</t>
  </si>
  <si>
    <t>Enterprise compliance</t>
  </si>
  <si>
    <t>Size</t>
  </si>
  <si>
    <t>The Big Dating Space</t>
  </si>
  <si>
    <t>100K+ followers</t>
  </si>
  <si>
    <t>https://thebigdatingspace.quora.com/</t>
  </si>
  <si>
    <t>Q&amp;A discussions</t>
  </si>
  <si>
    <t>Relationships Topic</t>
  </si>
  <si>
    <t>10M+ followers</t>
  </si>
  <si>
    <t>https://www.quora.com/topic/Relationships</t>
  </si>
  <si>
    <t>Answer questions</t>
  </si>
  <si>
    <t>Skool</t>
  </si>
  <si>
    <t>Socializer School</t>
  </si>
  <si>
    <t>10K+</t>
  </si>
  <si>
    <t>https://www.skool.com/</t>
  </si>
  <si>
    <t>Dating coaching community</t>
  </si>
  <si>
    <t>LoveShack.org</t>
  </si>
  <si>
    <t>Forum</t>
  </si>
  <si>
    <t>https://www.loveshack.org/</t>
  </si>
  <si>
    <t>Relationship advice forum</t>
  </si>
  <si>
    <t>eNotAlone</t>
  </si>
  <si>
    <t>https://www.enotalone.com/</t>
  </si>
  <si>
    <t>Dating/relationship forum</t>
  </si>
  <si>
    <t>Mingle2 Forum</t>
  </si>
  <si>
    <t>Dating Forum</t>
  </si>
  <si>
    <t>39M+ users</t>
  </si>
  <si>
    <t>https://www.mingle2.com/</t>
  </si>
  <si>
    <t>Free dating community</t>
  </si>
  <si>
    <t>SALT Christian Dating</t>
  </si>
  <si>
    <t>Niche</t>
  </si>
  <si>
    <t>https://saltdating.com/</t>
  </si>
  <si>
    <t>Christian dating community</t>
  </si>
  <si>
    <t>The Cage (BDSM)</t>
  </si>
  <si>
    <t>Alternative lifestyle</t>
  </si>
  <si>
    <t>🚀 30-DAY ORGANIC GROWTH PLAN - Poor Man's Version (Joshua's Strategy)</t>
  </si>
  <si>
    <t>Focus: Reddit &amp; Discord | Strategy: Engage Authentically → Build Trust → Soft Promote</t>
  </si>
  <si>
    <t>📊 YOUR TOP 2 PLATFORMS TO FOCUS ON</t>
  </si>
  <si>
    <t>Top Communities</t>
  </si>
  <si>
    <t>Total Reach</t>
  </si>
  <si>
    <t>Why Focus Here</t>
  </si>
  <si>
    <t>Daily Time</t>
  </si>
  <si>
    <t>Priority</t>
  </si>
  <si>
    <t>🔴 Reddit</t>
  </si>
  <si>
    <t>r/relationship_advice, r/Tinder, r/dating_advice</t>
  </si>
  <si>
    <t>21M+ members</t>
  </si>
  <si>
    <t>Largest audiences, authentic convos, high engagement</t>
  </si>
  <si>
    <t>60-90 min/day</t>
  </si>
  <si>
    <t>PRIMARY #1</t>
  </si>
  <si>
    <t>🟣 Discord</t>
  </si>
  <si>
    <t>Social Paradise, Discord's Most Active</t>
  </si>
  <si>
    <t>1.6M+ members</t>
  </si>
  <si>
    <t>Real-time chat, voice channels, always active</t>
  </si>
  <si>
    <t>30-45 min/day</t>
  </si>
  <si>
    <t>PRIMARY #2</t>
  </si>
  <si>
    <t>📅 30-DAY ENGAGEMENT CALENDAR</t>
  </si>
  <si>
    <t>Week</t>
  </si>
  <si>
    <t>Days</t>
  </si>
  <si>
    <t>Reddit Tasks</t>
  </si>
  <si>
    <t>Discord Tasks</t>
  </si>
  <si>
    <t>Goal</t>
  </si>
  <si>
    <t>Time/Day</t>
  </si>
  <si>
    <t>Week 1</t>
  </si>
  <si>
    <t>Days 1-7</t>
  </si>
  <si>
    <t>Join 5 subreddits, lurk &amp; upvote, learn rules, comment 3-5x/day on hot posts</t>
  </si>
  <si>
    <t>Join 3 servers, intro yourself, be active in voice/text 30min/day</t>
  </si>
  <si>
    <t>BUILD PRESENCE - Be seen, not heard promoting</t>
  </si>
  <si>
    <t>60 min</t>
  </si>
  <si>
    <t>Week 2</t>
  </si>
  <si>
    <t>Days 8-14</t>
  </si>
  <si>
    <t>Increase to 5-8 helpful comments/day, answer questions, share experiences</t>
  </si>
  <si>
    <t>Engage daily, help newcomers, join voice chats, make friends</t>
  </si>
  <si>
    <t>BUILD TRUST - Become a recognized helpful member</t>
  </si>
  <si>
    <t>75 min</t>
  </si>
  <si>
    <t>Week 3</t>
  </si>
  <si>
    <t>Days 15-21</t>
  </si>
  <si>
    <t>Start 1-2 discussion posts, share dating insights, soft mention your app IF relevant</t>
  </si>
  <si>
    <t>Share value in channels, create discussions, mention app naturally</t>
  </si>
  <si>
    <t>ADD VALUE - Start soft promotions only when contextual</t>
  </si>
  <si>
    <t>90 min</t>
  </si>
  <si>
    <t>Week 4</t>
  </si>
  <si>
    <t>Days 22-30</t>
  </si>
  <si>
    <t>Post success stories, engage deeply, collect feedback, DM interested users</t>
  </si>
  <si>
    <t>Build DM relationships, invite to beta test, create mini-community</t>
  </si>
  <si>
    <t>CONVERT - Turn engagers into users &amp; advocates</t>
  </si>
  <si>
    <t>💬 COPY-PASTE REDDIT COMMENT TEMPLATES</t>
  </si>
  <si>
    <t>Situation</t>
  </si>
  <si>
    <t>Template (Copy &amp; Customize)</t>
  </si>
  <si>
    <t>Subreddit</t>
  </si>
  <si>
    <t>Someone asks for dating app advice</t>
  </si>
  <si>
    <t>Honestly, I've tried most of them - Tinder, Bumble, Hinge. What worked for me was focusing on quality convos over quantity. There's also this newer app [YOUR APP] that does [UNIQUE FEATURE] differently. Happy to share more if you want!</t>
  </si>
  <si>
    <t>r/OnlineDating, r/DatingApps</t>
  </si>
  <si>
    <t>Someone frustrated with dating apps</t>
  </si>
  <si>
    <t>I feel you 100%. The swipe fatigue is real. I actually started looking for alternatives and found some that focus more on [YOUR DIFFERENTIATOR]. The key is finding one that matches how you actually want to date. What's been your biggest frustration?</t>
  </si>
  <si>
    <t>r/Tinder, r/dating</t>
  </si>
  <si>
    <t>Relationship advice question</t>
  </si>
  <si>
    <t>This is such a common issue! In my experience, communication is key. Have you tried [HELPFUL TIP]? Also, if you're still in the dating phase, using apps that prioritize [YOUR APP'S STRENGTH] can help find more compatible matches from the start.</t>
  </si>
  <si>
    <t>Profile review request</t>
  </si>
  <si>
    <t>Great photos! A few suggestions: 1) Lead with your smile pic 2) Add a prompt that shows your personality 3) Your bio could mention [SPECIFIC HOBBY]. I've seen apps like [YOUR APP] make this easier with [FEATURE]. Good luck!</t>
  </si>
  <si>
    <t>r/Tinder, r/Bumble</t>
  </si>
  <si>
    <t>Success story thread</t>
  </si>
  <si>
    <t>Love seeing these! I met my [partner/date] using [YOUR APP] actually. What made it different was [FEATURE]. The matching algorithm really helped because [REASON]. Anyone else have luck with newer dating apps?</t>
  </si>
  <si>
    <t>r/dating, r/OnlineDating</t>
  </si>
  <si>
    <t>Question about specific feature</t>
  </si>
  <si>
    <t>Great question! From what I've seen, most apps do [COMMON APPROACH]. But I recently tried [YOUR APP] which handles this with [YOUR APPROACH] - pretty refreshing tbh. Have you looked into alternatives?</t>
  </si>
  <si>
    <t>💬 COPY-PASTE DISCORD COMMENT TEMPLATES</t>
  </si>
  <si>
    <t>When to Use</t>
  </si>
  <si>
    <t>Server introduction</t>
  </si>
  <si>
    <t>Hey everyone! 👋 Just joined - I'm [NAME] from [LOCATION]. Super into [HOBBY] and currently working on [YOUR APP/PROJECT]. Always down to chat about dating, relationships, or just hang out in VC. Nice to meet y'all!</t>
  </si>
  <si>
    <t>Day 1 in any server</t>
  </si>
  <si>
    <t>Joining a dating convo</t>
  </si>
  <si>
    <t>Omg yes! Dating apps can be so hit or miss. I've been experimenting with different ones lately and honestly the ones that focus on [YOUR DIFFERENTIATOR] seem way better. Anyone else feel like the mainstream ones are getting stale?</t>
  </si>
  <si>
    <t>General chat discussions</t>
  </si>
  <si>
    <t>Someone complaining about apps</t>
  </si>
  <si>
    <t>I hear you! The endless swiping is exhausting 😩 I actually switched to this newer app [YOUR APP] because it does [FEATURE] and it's been way better for actually connecting with people. Less time wasted tbh</t>
  </si>
  <si>
    <t>Dating channels</t>
  </si>
  <si>
    <t>Responding to dating frustration</t>
  </si>
  <si>
    <t>Dating is rough out there fr. What helped me was changing up my approach - instead of [COMMON ISSUE], I started [YOUR SOLUTION]. Also found an app that actually works with my style. Happy to share if you want to DM!</t>
  </si>
  <si>
    <t>Support/advice channels</t>
  </si>
  <si>
    <t>Voice chat plug (subtle)</t>
  </si>
  <si>
    <t>So I actually work on/use this dating app and we just added [COOL FEATURE]. Pretty pumped about it. Anyone want to roast my pitch? 😂 Feedback would be clutch</t>
  </si>
  <si>
    <t>After building rapport in VC</t>
  </si>
  <si>
    <t>DM follow-up template</t>
  </si>
  <si>
    <t>Hey! Was chatting with you in [CHANNEL] earlier about dating apps. You mentioned [THEIR PAIN POINT] - I actually might have something that could help. No pressure but would you be open to checking out [YOUR APP]? Happy to hook you up with [OFFER].</t>
  </si>
  <si>
    <t>After positive interaction</t>
  </si>
  <si>
    <t>✅ DAILY ENGAGEMENT CHECKLIST</t>
  </si>
  <si>
    <t>Morning (15 min)</t>
  </si>
  <si>
    <t>Afternoon (15 min)</t>
  </si>
  <si>
    <t>Evening (30 min)</t>
  </si>
  <si>
    <t>Weekly Bonus</t>
  </si>
  <si>
    <t>Check notifications, reply to comments</t>
  </si>
  <si>
    <t>Browse Hot posts, leave 2-3 helpful comments</t>
  </si>
  <si>
    <t>Engage in Rising posts, answer questions, post if ready</t>
  </si>
  <si>
    <t>Post 1 discussion thread, cross-post success stories</t>
  </si>
  <si>
    <t>Say GM in servers, check DMs</t>
  </si>
  <si>
    <t>Drop into voice chat for 10 min</t>
  </si>
  <si>
    <t>Active text engagement, respond to DMs, build relationships</t>
  </si>
  <si>
    <t>Host a casual VC hangout, share exclusive content</t>
  </si>
  <si>
    <t>⚡ PRO TIPS FOR ORGANIC GROWTH (Poor Man's Secrets)</t>
  </si>
  <si>
    <t>Tip #</t>
  </si>
  <si>
    <t>Strategy</t>
  </si>
  <si>
    <t>Why It Works</t>
  </si>
  <si>
    <t>80/20 Rule: 80% helpful content, 20% promotion max</t>
  </si>
  <si>
    <t>Reddit/Discord communities hate spam - earn trust first</t>
  </si>
  <si>
    <t>Comment on NEW posts within 1 hour of posting</t>
  </si>
  <si>
    <t>Early comments get more visibility and upvotes</t>
  </si>
  <si>
    <t>Ask questions instead of making statements</t>
  </si>
  <si>
    <t>Drives engagement and makes you look curious, not salesy</t>
  </si>
  <si>
    <t>Use the same username everywhere</t>
  </si>
  <si>
    <t>Builds recognizable personal brand across platforms</t>
  </si>
  <si>
    <t>Screenshot and save positive interactions</t>
  </si>
  <si>
    <t>Social proof for future marketing materials</t>
  </si>
  <si>
    <t>Create a "bat signal" phrase people remember</t>
  </si>
  <si>
    <t>Ex: "As someone who built a dating app..." = instant credibility</t>
  </si>
  <si>
    <t>DM people who engage with you positively</t>
  </si>
  <si>
    <t>1-on-1 relationships convert way better than public posts</t>
  </si>
  <si>
    <t>Post at peak hours: Reddit 8-10am EST, Discord 7-11pm EST</t>
  </si>
  <si>
    <t>Maximum eyeballs on your content</t>
  </si>
  <si>
    <t>🎯 YOUR TARGET COMMUNITIES (From Your Data)</t>
  </si>
  <si>
    <t>Your Action</t>
  </si>
  <si>
    <t>#1</t>
  </si>
  <si>
    <t>Daily commenting, answer advice questions</t>
  </si>
  <si>
    <t>#2</t>
  </si>
  <si>
    <t>Share tips, engage profile reviews</t>
  </si>
  <si>
    <t>#3</t>
  </si>
  <si>
    <t>Give dating tips, soft promote</t>
  </si>
  <si>
    <t>#4</t>
  </si>
  <si>
    <t>Total</t>
  </si>
  <si>
    <t>% of 30-Day Goal</t>
  </si>
  <si>
    <t>#5</t>
  </si>
  <si>
    <t>Target</t>
  </si>
  <si>
    <t>Progress</t>
  </si>
  <si>
    <t>On Track?</t>
  </si>
  <si>
    <t>#6</t>
  </si>
  <si>
    <t>General dating discussions</t>
  </si>
  <si>
    <t>#7</t>
  </si>
  <si>
    <t>#8</t>
  </si>
  <si>
    <t>📈 WEEKLY KPI TRACKER</t>
  </si>
  <si>
    <t>Reddit Comments Posted</t>
  </si>
  <si>
    <t>Reddit Karma Earned</t>
  </si>
  <si>
    <t>Discord Messages Sent</t>
  </si>
  <si>
    <t>100+/week</t>
  </si>
  <si>
    <t>Discord DMs Initiated</t>
  </si>
  <si>
    <t>10+/week</t>
  </si>
  <si>
    <t>App Mentions (Natural)</t>
  </si>
  <si>
    <t>5-10/week</t>
  </si>
  <si>
    <t>Signups/Downloads Tracked</t>
  </si>
  <si>
    <t>20+/week</t>
  </si>
  <si>
    <t>Positive Feedback Received</t>
  </si>
  <si>
    <t>5+/week</t>
  </si>
  <si>
    <t>🤖 AI vs 👤 HUMAN TASKS BREAKDOWN</t>
  </si>
  <si>
    <t>Hermes/Opus/Claude can draft • YOU must post &amp; engage</t>
  </si>
  <si>
    <t>✅ AI CAN HELP WITH (Paperclip/Hermes/Opus Approved)</t>
  </si>
  <si>
    <t>Category</t>
  </si>
  <si>
    <t>Task</t>
  </si>
  <si>
    <t>AI Tool</t>
  </si>
  <si>
    <t>Time Saved</t>
  </si>
  <si>
    <t>Output Format</t>
  </si>
  <si>
    <t>📝 Content Drafting</t>
  </si>
  <si>
    <t>Draft Reddit comment templates</t>
  </si>
  <si>
    <t>Claude/Opus</t>
  </si>
  <si>
    <t>2-3 hrs/week</t>
  </si>
  <si>
    <t>Text to copy-paste</t>
  </si>
  <si>
    <t>Write Discord intro messages</t>
  </si>
  <si>
    <t>1 hr/week</t>
  </si>
  <si>
    <t>Text templates</t>
  </si>
  <si>
    <t>Create response variations (5-10 versions)</t>
  </si>
  <si>
    <t>3 hrs/week</t>
  </si>
  <si>
    <t>Swipe file</t>
  </si>
  <si>
    <t>Write bio/profile descriptions</t>
  </si>
  <si>
    <t>1 hr</t>
  </si>
  <si>
    <t>Multiple options</t>
  </si>
  <si>
    <t>🔍 Research</t>
  </si>
  <si>
    <t>Find best subreddits for your niche</t>
  </si>
  <si>
    <t>Hermes/Claude</t>
  </si>
  <si>
    <t>2-3 hrs</t>
  </si>
  <si>
    <t>Ranked list</t>
  </si>
  <si>
    <t>Analyze top-performing posts</t>
  </si>
  <si>
    <t>2 hrs/week</t>
  </si>
  <si>
    <t>Strategy notes</t>
  </si>
  <si>
    <t>Identify peak posting times</t>
  </si>
  <si>
    <t>Hermes</t>
  </si>
  <si>
    <t>30 min</t>
  </si>
  <si>
    <t>Schedule</t>
  </si>
  <si>
    <t>📊 Planning</t>
  </si>
  <si>
    <t>Create weekly content calendar</t>
  </si>
  <si>
    <t>Excel/schedule</t>
  </si>
  <si>
    <t>Generate discussion topic ideas</t>
  </si>
  <si>
    <t>List of 20+ ideas</t>
  </si>
  <si>
    <t>Write A/B test variations</t>
  </si>
  <si>
    <t>Test document</t>
  </si>
  <si>
    <t>✏️ Editing</t>
  </si>
  <si>
    <t>Improve/polish your draft comments</t>
  </si>
  <si>
    <t>30 min/day</t>
  </si>
  <si>
    <t>Refined text</t>
  </si>
  <si>
    <t>Make messages sound more casual</t>
  </si>
  <si>
    <t>Human-sounding</t>
  </si>
  <si>
    <t>Shorten long responses</t>
  </si>
  <si>
    <t>15 min/day</t>
  </si>
  <si>
    <t>Concise versions</t>
  </si>
  <si>
    <t>🚫 YOU MUST DO (100% Human Required)</t>
  </si>
  <si>
    <t>Why YOU Must Do It</t>
  </si>
  <si>
    <t>Risk if AI Does It</t>
  </si>
  <si>
    <t>Time Required</t>
  </si>
  <si>
    <t>🔐 Account Actions</t>
  </si>
  <si>
    <t>Actually POSTING comments on Reddit</t>
  </si>
  <si>
    <t>ToS violation if automated</t>
  </si>
  <si>
    <t>ACCOUNT BAN - Permanent</t>
  </si>
  <si>
    <t>5-10 min/post</t>
  </si>
  <si>
    <t>Sending messages on Discord</t>
  </si>
  <si>
    <t>ToS violation if bot detected</t>
  </si>
  <si>
    <t>SERVER BAN + Account flag</t>
  </si>
  <si>
    <t>10-15 min/day</t>
  </si>
  <si>
    <t>Logging into your accounts</t>
  </si>
  <si>
    <t>Security risk, 2FA required</t>
  </si>
  <si>
    <t>Account compromise</t>
  </si>
  <si>
    <t>2 min</t>
  </si>
  <si>
    <t>Upvoting/reacting to posts</t>
  </si>
  <si>
    <t>Vote manipulation = instant ban</t>
  </si>
  <si>
    <t>PERMANENT REDDIT BAN</t>
  </si>
  <si>
    <t>5 min/day</t>
  </si>
  <si>
    <t>💬 Real Engagement</t>
  </si>
  <si>
    <t>Responding to replies on YOUR posts</t>
  </si>
  <si>
    <t>People can tell if it's fake</t>
  </si>
  <si>
    <t>Lose trust, get called out</t>
  </si>
  <si>
    <t>15-30 min/day</t>
  </si>
  <si>
    <t>DM conversations with interested users</t>
  </si>
  <si>
    <t>Relationship building is personal</t>
  </si>
  <si>
    <t>Feels scammy, they'll ghost</t>
  </si>
  <si>
    <t>20-45 min/day</t>
  </si>
  <si>
    <t>Voice chat on Discord</t>
  </si>
  <si>
    <t>AI can't do real-time voice</t>
  </si>
  <si>
    <t>Impossible for AI</t>
  </si>
  <si>
    <t>Reacting to inside jokes/context</t>
  </si>
  <si>
    <t>Community-specific knowledge</t>
  </si>
  <si>
    <t>Get outed as fake</t>
  </si>
  <si>
    <t>Ongoing</t>
  </si>
  <si>
    <t>🎯 Decision Making</t>
  </si>
  <si>
    <t>Deciding WHEN to mention your app</t>
  </si>
  <si>
    <t>Requires reading the room</t>
  </si>
  <si>
    <t>Comes off as spam</t>
  </si>
  <si>
    <t>Real-time</t>
  </si>
  <si>
    <t>Choosing which posts to engage with</t>
  </si>
  <si>
    <t>Context matters</t>
  </si>
  <si>
    <t>Waste time on wrong posts</t>
  </si>
  <si>
    <t>5-10 min/day</t>
  </si>
  <si>
    <t>🤝 Relationships</t>
  </si>
  <si>
    <t>Following up with warm leads</t>
  </si>
  <si>
    <t>Personal touch required</t>
  </si>
  <si>
    <t>Lose potential users</t>
  </si>
  <si>
    <t>Remembering user details/history</t>
  </si>
  <si>
    <t>Shows you actually care</t>
  </si>
  <si>
    <t>Generic = ignored</t>
  </si>
  <si>
    <t>📸 Personal Content</t>
  </si>
  <si>
    <t>Sharing YOUR personal dating stories</t>
  </si>
  <si>
    <t>Authenticity is key</t>
  </si>
  <si>
    <t>Get called out for lying</t>
  </si>
  <si>
    <t>When relevant</t>
  </si>
  <si>
    <t>Screenshots of YOUR app</t>
  </si>
  <si>
    <t>Must be real product</t>
  </si>
  <si>
    <t>Legal/trust issues</t>
  </si>
  <si>
    <t>When ready</t>
  </si>
  <si>
    <t>⚡ YOUR DAILY WORKFLOW: AI Prep → Human Execution</t>
  </si>
  <si>
    <t>Step</t>
  </si>
  <si>
    <t>Time</t>
  </si>
  <si>
    <t>Who</t>
  </si>
  <si>
    <t>What Happens</t>
  </si>
  <si>
    <t>Output</t>
  </si>
  <si>
    <t>Tool</t>
  </si>
  <si>
    <t>1️⃣ Morning Prep</t>
  </si>
  <si>
    <t>🤖 AI</t>
  </si>
  <si>
    <t>Generate 10 comment drafts for today</t>
  </si>
  <si>
    <t>Swipe file ready</t>
  </si>
  <si>
    <t>Claude/Paperclip</t>
  </si>
  <si>
    <t>2️⃣ Browse &amp; Select</t>
  </si>
  <si>
    <t>👤 YOU</t>
  </si>
  <si>
    <t>Find 5 good posts to engage with</t>
  </si>
  <si>
    <t>Target list</t>
  </si>
  <si>
    <t>Browser</t>
  </si>
  <si>
    <t>3️⃣ Customize &amp; Post</t>
  </si>
  <si>
    <t>Take AI draft, personalize, POST yourself</t>
  </si>
  <si>
    <t>Live comments</t>
  </si>
  <si>
    <t>Reddit/Discord</t>
  </si>
  <si>
    <t>4️⃣ Midday Check</t>
  </si>
  <si>
    <t>Check notifications, reply to responses</t>
  </si>
  <si>
    <t>Mobile app</t>
  </si>
  <si>
    <t>5️⃣ Afternoon Research</t>
  </si>
  <si>
    <t>Analyze which communities are active now</t>
  </si>
  <si>
    <t>Hot list</t>
  </si>
  <si>
    <t>Claude</t>
  </si>
  <si>
    <t>6️⃣ Evening Engagement</t>
  </si>
  <si>
    <t>Peak hours - post, comment, join VC</t>
  </si>
  <si>
    <t>Max visibility</t>
  </si>
  <si>
    <t>All platforms</t>
  </si>
  <si>
    <t>7️⃣ DM Follow-ups</t>
  </si>
  <si>
    <t>Message people who engaged positively</t>
  </si>
  <si>
    <t>Warm leads</t>
  </si>
  <si>
    <t>Direct messages</t>
  </si>
  <si>
    <t>8️⃣ Next-Day Prep</t>
  </si>
  <si>
    <t>Draft tomorrow's content</t>
  </si>
  <si>
    <t>Tomorrow's drafts</t>
  </si>
  <si>
    <t>⚠️ CRITICAL WARNINGS - What Gets You BANNED</t>
  </si>
  <si>
    <t>❌ DON'T DO THIS</t>
  </si>
  <si>
    <t>Consequence</t>
  </si>
  <si>
    <t>Do This Instead</t>
  </si>
  <si>
    <t>Auto-posting with bots/scripts</t>
  </si>
  <si>
    <t>Permanent IP ban</t>
  </si>
  <si>
    <t>Copy-paste manually from AI drafts</t>
  </si>
  <si>
    <t>AI sending Discord DMs automatically</t>
  </si>
  <si>
    <t>Account termination</t>
  </si>
  <si>
    <t>Type messages yourself</t>
  </si>
  <si>
    <t>Posting identical comments everywhere</t>
  </si>
  <si>
    <t>Spam flag + shadowban</t>
  </si>
  <si>
    <t>Use variations (AI makes 10 versions)</t>
  </si>
  <si>
    <t>Letting AI control your account login</t>
  </si>
  <si>
    <t>All</t>
  </si>
  <si>
    <t>Security breach risk</t>
  </si>
  <si>
    <t>Only YOU log in</t>
  </si>
  <si>
    <t>Voting rings or automated upvotes</t>
  </si>
  <si>
    <t>Site-wide ban</t>
  </si>
  <si>
    <t>Earn organic upvotes</t>
  </si>
  <si>
    <t>Copy-paste AI text without editing</t>
  </si>
  <si>
    <t>Sounds robotic</t>
  </si>
  <si>
    <t>Always personalize with YOUR voice</t>
  </si>
  <si>
    <t>💡 QUICK PROMPTS - Copy-Paste These to Hermes/Opus/Claude</t>
  </si>
  <si>
    <t>When You Need...</t>
  </si>
  <si>
    <t>Prompt to Use</t>
  </si>
  <si>
    <t>Expected Output</t>
  </si>
  <si>
    <t>Daily comment drafts</t>
  </si>
  <si>
    <t>"Write 10 Reddit comments for r/dating_advice about [TOPIC]. Make them helpful, casual, vary length. Soft mention my app [NAME] in only 2."</t>
  </si>
  <si>
    <t>10 ready comments</t>
  </si>
  <si>
    <t>Discord intro variations</t>
  </si>
  <si>
    <t>"Give me 5 different ways to introduce myself in a Discord dating server. I'm building [APP] and want to sound friendly, not salesy."</t>
  </si>
  <si>
    <t>5 intro options</t>
  </si>
  <si>
    <t>Response to criticism</t>
  </si>
  <si>
    <t>"Someone said [CRITICISM] about dating apps. Write a thoughtful, non-defensive response."</t>
  </si>
  <si>
    <t>Diplomatic reply</t>
  </si>
  <si>
    <t>Discussion post ideas</t>
  </si>
  <si>
    <t>"Generate 10 discussion questions for r/OnlineDating that spark engagement and let me naturally mention my app."</t>
  </si>
  <si>
    <t>10 post ideas</t>
  </si>
  <si>
    <t>Profile review help</t>
  </si>
  <si>
    <t>"I need to help someone with their dating profile. They said [ISSUE]. Write helpful comment with 3 tips."</t>
  </si>
  <si>
    <t>Advice template</t>
  </si>
  <si>
    <t>DM follow-up message</t>
  </si>
  <si>
    <t>"Write a friendly DM follow-up to someone who liked my comment about [TOPIC]. Goal: invite them to try my app."</t>
  </si>
  <si>
    <t>Warm outreach</t>
  </si>
  <si>
    <t>Weekly strategy review</t>
  </si>
  <si>
    <t>"Based on these stats [YOUR DATA], what's working and what should I change in my engagement strategy?"</t>
  </si>
  <si>
    <t>Action items</t>
  </si>
  <si>
    <t>Handle awkward questions</t>
  </si>
  <si>
    <t>"Someone asked if I'm promoting my own app. How do I respond honestly without losing credibility?"</t>
  </si>
  <si>
    <t>Transparent response</t>
  </si>
  <si>
    <t>Casual voice check</t>
  </si>
  <si>
    <t>"Rewrite this to sound more casual and human: [YOUR TEXT]"</t>
  </si>
  <si>
    <t>Natural text</t>
  </si>
  <si>
    <t>🎯 THE GOLDEN RULE SUMMARY</t>
  </si>
  <si>
    <t>🤖 AI = Your Content Factory</t>
  </si>
  <si>
    <t>👤 YOU = The Human Face</t>
  </si>
  <si>
    <t>⚖️ Balance</t>
  </si>
  <si>
    <t>Drafts, research, variations, ideas</t>
  </si>
  <si>
    <t>Posting, replying, relationships, decisions</t>
  </si>
  <si>
    <t>80% AI prep, 20% human execution time</t>
  </si>
  <si>
    <t>Works in background, saves hours</t>
  </si>
  <si>
    <t>Shows up authentically, builds trust</t>
  </si>
  <si>
    <t>AI multiplies YOUR effort, not replaces YOU</t>
  </si>
  <si>
    <t>Never touches your accounts directly</t>
  </si>
  <si>
    <t>Always the one clicking 'Post' or 'Send'</t>
  </si>
  <si>
    <t>You stay in control, AI stays invisible</t>
  </si>
  <si>
    <t>📎 PAPERCLIP AGENT.MD - Organic Growth Assistant</t>
  </si>
  <si>
    <t>📍 QUICK NAV</t>
  </si>
  <si>
    <t>Copy this entire section into your Paperclip/Hermes agent configuration</t>
  </si>
  <si>
    <t>Agent.md: Row 1</t>
  </si>
  <si>
    <t>Skill.md: Row 57</t>
  </si>
  <si>
    <t># 🎯 AGENT: Organic Growth Content Assistant</t>
  </si>
  <si>
    <t>README.md: Row 105</t>
  </si>
  <si>
    <t>## Identity</t>
  </si>
  <si>
    <t>You are Joshua's Organic Growth Assistant, specializing in creating authentic</t>
  </si>
  <si>
    <t>engagement content for dating app promotion on Reddit and Discord.</t>
  </si>
  <si>
    <t>## Core Mission</t>
  </si>
  <si>
    <t>Generate high-quality, human-sounding drafts that Joshua will manually post.</t>
  </si>
  <si>
    <t>You NEVER post directly - you only prepare content.</t>
  </si>
  <si>
    <t>## Platforms You Support</t>
  </si>
  <si>
    <t>- **Reddit**: r/relationship_advice, r/Tinder, r/dating_advice, r/OnlineDating, r/DatingApps</t>
  </si>
  <si>
    <t>- **Discord**: Social Paradise, Discord's Most Active, Dating Chat servers</t>
  </si>
  <si>
    <t>## Content Rules</t>
  </si>
  <si>
    <t>1. **80/20 Rule**: 80% helpful value, 20% max subtle promotion</t>
  </si>
  <si>
    <t>2. **Casual Tone**: Write like a real person, not a marketer</t>
  </si>
  <si>
    <t>3. **Vary Length**: Mix short punchy comments with detailed responses</t>
  </si>
  <si>
    <t>4. **No Spam**: Never repeat identical text across posts</t>
  </si>
  <si>
    <t>5. **Context First**: Always ask what post/thread you're responding to</t>
  </si>
  <si>
    <t>## Your Capabilities (✅ DO)</t>
  </si>
  <si>
    <t>- Draft Reddit comments (10+ variations)</t>
  </si>
  <si>
    <t>- Polish/edit Joshua's drafts</t>
  </si>
  <si>
    <t>## Your Boundaries (🚫 DON'T)</t>
  </si>
  <si>
    <t>## Output Format - Always provide content in this structure:</t>
  </si>
  <si>
    <t>### Comment Draft #[X]</t>
  </si>
  <si>
    <t>**Target**: [Subreddit/Server]</t>
  </si>
  <si>
    <t>**Situation**: [What post you're responding to]</t>
  </si>
  <si>
    <t>**Tone**: [Casual/Helpful/Story-based]</t>
  </si>
  <si>
    <t>**Content**: [The actual comment text]</t>
  </si>
  <si>
    <t>**Promotion Level**: None / Soft / Direct</t>
  </si>
  <si>
    <t>## Quick Commands Joshua Can Use</t>
  </si>
  <si>
    <t>- `draft 10` = Generate 10 Reddit comment drafts</t>
  </si>
  <si>
    <t>- `discord intro` = Create Discord server introductions</t>
  </si>
  <si>
    <t>- `make casual` = Rewrite text to sound more human</t>
  </si>
  <si>
    <t>- `variations 5` = Create 5 versions of provided text</t>
  </si>
  <si>
    <t>- `topic ideas` = Generate discussion post topics</t>
  </si>
  <si>
    <t>🛠️ SKILL.MD - Organic Growth Skills Definition</t>
  </si>
  <si>
    <t>Define what skills your agent has - paste into skill configuration</t>
  </si>
  <si>
    <t># 🛠️ SKILLS: Organic Growth Content Generation</t>
  </si>
  <si>
    <t>## Skill 1: Reddit Comment Drafting</t>
  </si>
  <si>
    <t>**Trigger**: User asks for Reddit comments, engagement content, or replies</t>
  </si>
  <si>
    <t>**Input**: Target subreddit, post context, tone preference</t>
  </si>
  <si>
    <t>**Output**: 5-10 unique comment drafts with varying lengths and approaches</t>
  </si>
  <si>
    <t>**Quality Check**: Each must sound human, provide value, max 1-2 soft mentions of app</t>
  </si>
  <si>
    <t>## Skill 2: Discord Engagement Content</t>
  </si>
  <si>
    <t>**Trigger**: User asks for Discord intros, chat messages, or VC talking points</t>
  </si>
  <si>
    <t>**Input**: Server name, channel type, user's personality/brand</t>
  </si>
  <si>
    <t>**Output**: Introduction message, conversation starters, engagement templates</t>
  </si>
  <si>
    <t>**Quality Check**: Must sound casual/friendly, not corporate or salesy</t>
  </si>
  <si>
    <t>## Skill 3: Content Calendar Planning</t>
  </si>
  <si>
    <t>**Trigger**: User asks for weekly/monthly content plan</t>
  </si>
  <si>
    <t>**Input**: Goals, available time, target platforms</t>
  </si>
  <si>
    <t>**Output**: Day-by-day action items with specific tasks</t>
  </si>
  <si>
    <t>**Quality Check**: Realistic time estimates, balanced across platforms</t>
  </si>
  <si>
    <t>## Skill 4: Text Humanization</t>
  </si>
  <si>
    <t>**Trigger**: User says 'make casual', 'humanize', 'sound natural'</t>
  </si>
  <si>
    <t>**Input**: Any text that sounds robotic or formal</t>
  </si>
  <si>
    <t>**Output**: Same message rewritten in conversational tone</t>
  </si>
  <si>
    <t>**Quality Check**: Remove corporate speak, add personality, vary sentence length</t>
  </si>
  <si>
    <t>## Skill 5: A/B Variation Generation</t>
  </si>
  <si>
    <t>**Trigger**: User asks for variations, alternatives, or A/B tests</t>
  </si>
  <si>
    <t>**Input**: Original text/concept</t>
  </si>
  <si>
    <t>**Output**: 5-10 variations with different angles, hooks, or CTAs</t>
  </si>
  <si>
    <t>**Quality Check**: Each must be distinct, not just synonym swaps</t>
  </si>
  <si>
    <t>## Skill 6: Engagement Response Templates</t>
  </si>
  <si>
    <t>**Trigger**: User needs to respond to specific situations</t>
  </si>
  <si>
    <t>**Input**: Scenario (criticism, praise, questions, DM follow-up)</t>
  </si>
  <si>
    <t>**Output**: Context-appropriate response options</t>
  </si>
  <si>
    <t>**Quality Check**: Authentic, non-defensive, maintains credibility</t>
  </si>
  <si>
    <t>## Skill 7: Community Research Summary</t>
  </si>
  <si>
    <t>**Trigger**: User asks about best communities, posting times, trends</t>
  </si>
  <si>
    <t>**Input**: Niche/topic, platform preference</t>
  </si>
  <si>
    <t>**Output**: Ranked list with engagement levels, best practices, rules summary</t>
  </si>
  <si>
    <t>**Quality Check**: Actionable insights, not generic advice</t>
  </si>
  <si>
    <t>--- END SKILL.MD ---</t>
  </si>
  <si>
    <t>📖 README.MD - How To Use This System</t>
  </si>
  <si>
    <t>Your quick-start guide for the AI + Human workflow</t>
  </si>
  <si>
    <t># 📖 README: Joshua's Organic Growth System</t>
  </si>
  <si>
    <t>## 🚀 Quick Start (5 Minutes)</t>
  </si>
  <si>
    <t>### Step 1: Set Up Your AI Assistant</t>
  </si>
  <si>
    <t>1. Copy the AGENT.MD content (rows 1-55 above)</t>
  </si>
  <si>
    <t>2. Paste into Paperclip/Hermes agent configuration</t>
  </si>
  <si>
    <t>3. Copy the SKILL.MD content (rows 57-100)</t>
  </si>
  <si>
    <t>4. Add to your agent's skill definitions</t>
  </si>
  <si>
    <t>5. Test with: 'draft 10 Reddit comments for r/dating_advice'</t>
  </si>
  <si>
    <t>### Step 2: Daily Workflow</t>
  </si>
  <si>
    <t>| Time     | Action                              | Tool            |</t>
  </si>
  <si>
    <t>|----------|-------------------------------------|-----------------|</t>
  </si>
  <si>
    <t>| 8:00 AM  | Ask AI: 'draft 10 comments today'   | Hermes/Paperclip|</t>
  </si>
  <si>
    <t>| 8:30 AM  | Browse Reddit, find 5 good posts    | Browser         |</t>
  </si>
  <si>
    <t>| 9:00 AM  | Copy AI draft → Personalize → POST  | Reddit          |</t>
  </si>
  <si>
    <t>| 12:00 PM | Check replies, respond authentically| Mobile          |</t>
  </si>
  <si>
    <t>| 7:00 PM  | Peak hours - engage heavily         | Reddit/Discord  |</t>
  </si>
  <si>
    <t>| 9:00 PM  | DM warm leads                       | Direct messages |</t>
  </si>
  <si>
    <t>| 10:00 PM | Ask AI: 'prep tomorrow's drafts'    | Hermes          |</t>
  </si>
  <si>
    <t>## 📋 Copy-Paste Prompts for Hermes</t>
  </si>
  <si>
    <t>### 🌅 Morning Content Generation:</t>
  </si>
  <si>
    <t>Generate 10 Reddit comments for r/dating_advice. Topic: dating app frustration.</t>
  </si>
  <si>
    <t>Make them helpful and casual. Only 2 should softly mention my app [APP NAME].</t>
  </si>
  <si>
    <t>Vary the length - some short (1-2 sentences), some detailed (paragraph).</t>
  </si>
  <si>
    <t>### 🟣 Discord Introduction:</t>
  </si>
  <si>
    <t>Write 5 Discord server intro messages for dating/social servers.</t>
  </si>
  <si>
    <t>I'm building [APP NAME], but I want to sound like a regular member first.</t>
  </si>
  <si>
    <t>Make them friendly, mention a hobby, and invite conversation.</t>
  </si>
  <si>
    <t>### 🗣️ Make Text More Human:</t>
  </si>
  <si>
    <t>Rewrite this to sound more casual and human: [PASTE YOUR TEXT HERE]</t>
  </si>
  <si>
    <t>Remove any corporate or robotic phrasing. Add personality.</t>
  </si>
  <si>
    <t>### 🔄 Generate Variations:</t>
  </si>
  <si>
    <t>Create 5 different versions of this comment: [PASTE ORIGINAL COMMENT]</t>
  </si>
  <si>
    <t>Each should have a different angle or hook. No copy-paste spam.</t>
  </si>
  <si>
    <t>### 🛡️ Handle Criticism:</t>
  </si>
  <si>
    <t>Someone said this about my app: '[CRITICISM]'</t>
  </si>
  <si>
    <t>Write a thoughtful, non-defensive response that maintains credibility.</t>
  </si>
  <si>
    <t>## ⚠️ Critical Rules</t>
  </si>
  <si>
    <t>✅ AI DOES:                    🚫 YOU DO (Never AI):</t>
  </si>
  <si>
    <t>- Draft content (copy-paste)   - Actually posting/sending</t>
  </si>
  <si>
    <t xml:space="preserve">                               - Real-time replies</t>
  </si>
  <si>
    <t>## 📊 Weekly KPIs to Track</t>
  </si>
  <si>
    <t>- Upvotes received: ___</t>
  </si>
  <si>
    <t>## 🎯 THE GOLDEN FORMULA</t>
  </si>
  <si>
    <t>╔════════════════════════════════════════════════════════════════╗</t>
  </si>
  <si>
    <t>║  AI Prep (80% thinking) + Human Execution (20% time) = GROWTH ║</t>
  </si>
  <si>
    <t>╚════════════════════════════════════════════════════════════════╝</t>
  </si>
  <si>
    <t>You stay authentic. AI handles the heavy lifting. Nobody gets banned. 🚀</t>
  </si>
  <si>
    <t>--- END README.MD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</si>
</sst>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0.0"/>
  </numFmts>
  <fonts count="18">
    <font>
      <sz val="11"/>
      <color theme="1"/>
      <name val="Calibri"/>
      <scheme val="minor"/>
    </font>
    <font>
      <b/>
      <sz val="12"/>
      <color rgb="FFFFFFFF"/>
      <name val="Aptos Narrow"/>
    </font>
    <font>
      <sz val="11"/>
      <name val="Calibri"/>
      <scheme val="minor"/>
    </font>
    <font>
      <u/>
      <sz val="11"/>
      <color rgb="FF0563C1"/>
      <name val="Calibri"/>
      <scheme val="minor"/>
    </font>
    <font>
      <b/>
      <sz val="11"/>
      <color theme="1"/>
      <name val="Calibri"/>
      <scheme val="minor"/>
    </font>
    <font>
      <b/>
      <sz val="16"/>
      <color rgb="FFFFFFFF"/>
      <name val="Calibri"/>
      <scheme val="minor"/>
    </font>
    <font>
      <i/>
      <sz val="11"/>
      <color theme="1"/>
      <name val="Calibri"/>
      <scheme val="minor"/>
    </font>
    <font>
      <b/>
      <sz val="13"/>
      <color rgb="FFFFFFFF"/>
      <name val="Calibri"/>
      <scheme val="minor"/>
    </font>
    <font>
      <i/>
      <sz val="11"/>
      <color rgb="FFE8E8E8"/>
      <name val="Calibri"/>
      <scheme val="minor"/>
    </font>
    <font>
      <b/>
      <sz val="13"/>
      <color rgb="FF000000"/>
      <name val="Calibri"/>
      <scheme val="minor"/>
    </font>
    <font>
      <sz val="10"/>
      <color theme="1"/>
      <name val="Consolas"/>
    </font>
    <font>
      <b/>
      <sz val="11"/>
      <color rgb="FFFFFFFF"/>
      <name val="Calibri"/>
      <scheme val="minor"/>
    </font>
    <font>
      <sz val="11"/>
      <color rgb="FF0000FF"/>
      <name val="Calibri"/>
      <scheme val="minor"/>
    </font>
    <font>
      <b/>
      <sz val="11"/>
      <color rgb="FF0000FF"/>
      <name val="Calibri"/>
      <scheme val="minor"/>
    </font>
    <font>
      <i/>
      <sz val="11"/>
      <color rgb="FF595959"/>
      <name val="Calibri"/>
      <scheme val="minor"/>
    </font>
    <font>
      <i/>
      <sz val="11"/>
      <color rgb="FFFF0000"/>
      <name val="Calibri"/>
      <scheme val="minor"/>
    </font>
    <font>
      <b/>
      <sz val="12"/>
      <color rgb="FFFFFFFF"/>
      <name val="Calibri"/>
      <scheme val="minor"/>
    </font>
    <font>
      <b/>
      <sz val="11"/>
      <color rgb="FF1E4620"/>
      <name val="Calibri"/>
      <scheme val="minor"/>
    </font>
  </fonts>
  <fills count="53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5700"/>
        <bgColor indexed="64"/>
      </patternFill>
    </fill>
    <fill>
      <patternFill patternType="solid">
        <fgColor rgb="FFFFE5D6"/>
        <bgColor indexed="64"/>
      </patternFill>
    </fill>
    <fill>
      <patternFill patternType="solid">
        <fgColor rgb="FF5865F2"/>
        <bgColor indexed="64"/>
      </patternFill>
    </fill>
    <fill>
      <patternFill patternType="solid">
        <fgColor rgb="FFE8EAF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E5E5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1A1A2E"/>
        <bgColor indexed="64"/>
      </patternFill>
    </fill>
    <fill>
      <patternFill patternType="solid">
        <fgColor rgb="FF16213E"/>
        <bgColor indexed="64"/>
      </patternFill>
    </fill>
    <fill>
      <patternFill patternType="solid">
        <fgColor rgb="FF00A86B"/>
        <bgColor indexed="64"/>
      </patternFill>
    </fill>
    <fill>
      <patternFill patternType="solid">
        <fgColor rgb="FFC8F7DC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DC3545"/>
        <bgColor indexed="64"/>
      </patternFill>
    </fill>
    <fill>
      <patternFill patternType="solid">
        <fgColor rgb="FFF8D7DA"/>
        <bgColor indexed="64"/>
      </patternFill>
    </fill>
    <fill>
      <patternFill patternType="solid">
        <fgColor rgb="FFFFF5F5"/>
        <bgColor indexed="64"/>
      </patternFill>
    </fill>
    <fill>
      <patternFill patternType="solid">
        <fgColor rgb="FF6F42C1"/>
        <bgColor indexed="64"/>
      </patternFill>
    </fill>
    <fill>
      <patternFill patternType="solid">
        <fgColor rgb="FFE2D9F3"/>
        <bgColor indexed="64"/>
      </patternFill>
    </fill>
    <fill>
      <patternFill patternType="solid">
        <fgColor rgb="FFF8F5FF"/>
        <bgColor indexed="64"/>
      </patternFill>
    </fill>
    <fill>
      <patternFill patternType="solid">
        <fgColor rgb="FFFF6B35"/>
        <bgColor indexed="64"/>
      </patternFill>
    </fill>
    <fill>
      <patternFill patternType="solid">
        <fgColor rgb="FFFFE5D9"/>
        <bgColor indexed="64"/>
      </patternFill>
    </fill>
    <fill>
      <patternFill patternType="solid">
        <fgColor rgb="FFFFF0EB"/>
        <bgColor indexed="64"/>
      </patternFill>
    </fill>
    <fill>
      <patternFill patternType="solid">
        <fgColor rgb="FF20C997"/>
        <bgColor indexed="64"/>
      </patternFill>
    </fill>
    <fill>
      <patternFill patternType="solid">
        <fgColor rgb="FFD3F9EB"/>
        <bgColor indexed="64"/>
      </patternFill>
    </fill>
    <fill>
      <patternFill patternType="solid">
        <fgColor rgb="FFF0FFF8"/>
        <bgColor indexed="64"/>
      </patternFill>
    </fill>
    <fill>
      <patternFill patternType="solid">
        <fgColor rgb="FFFFD7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DE8E8"/>
        <bgColor indexed="64"/>
      </patternFill>
    </fill>
    <fill>
      <patternFill patternType="solid">
        <fgColor rgb="FFF0E8FD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2E4D8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BF3E8"/>
        <bgColor indexed="64"/>
      </patternFill>
    </fill>
    <fill>
      <patternFill patternType="solid">
        <fgColor rgb="FF5B2C8D"/>
        <bgColor indexed="64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1">
      <alignment vertical="top"/>
    </xf>
  </cellStyleXfs>
  <cellXfs count="112">
    <xf numFmtId="0" fontId="0" fillId="0" borderId="1" xfId="0">
      <alignment vertical="top"/>
    </xf>
    <xf numFmtId="0" fontId="4" fillId="12" borderId="1" xfId="0" applyFont="1" applyFill="1">
      <alignment vertical="top"/>
    </xf>
    <xf numFmtId="0" fontId="4" fillId="14" borderId="1" xfId="0" applyFont="1" applyFill="1">
      <alignment vertical="top"/>
    </xf>
    <xf numFmtId="0" fontId="4" fillId="16" borderId="1" xfId="0" applyFont="1" applyFill="1">
      <alignment vertical="top"/>
    </xf>
    <xf numFmtId="0" fontId="4" fillId="18" borderId="1" xfId="0" applyFont="1" applyFill="1">
      <alignment vertical="top"/>
    </xf>
    <xf numFmtId="0" fontId="4" fillId="8" borderId="1" xfId="0" applyFont="1" applyFill="1" applyBorder="1">
      <alignment vertical="top"/>
    </xf>
    <xf numFmtId="0" fontId="0" fillId="0" borderId="1" xfId="0" applyBorder="1">
      <alignment vertical="top"/>
    </xf>
    <xf numFmtId="0" fontId="0" fillId="0" borderId="2" xfId="0" applyBorder="1">
      <alignment vertical="top"/>
    </xf>
    <xf numFmtId="0" fontId="4" fillId="10" borderId="1" xfId="0" applyFont="1" applyFill="1" applyBorder="1">
      <alignment vertical="top"/>
    </xf>
    <xf numFmtId="0" fontId="0" fillId="0" borderId="1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4" fillId="20" borderId="1" xfId="0" applyFont="1" applyFill="1" applyBorder="1">
      <alignment vertical="top"/>
    </xf>
    <xf numFmtId="3" fontId="0" fillId="0" borderId="1" xfId="0" applyNumberFormat="1" applyBorder="1" applyAlignment="1">
      <alignment vertical="top" wrapText="1"/>
    </xf>
    <xf numFmtId="0" fontId="4" fillId="22" borderId="1" xfId="0" applyFont="1" applyFill="1" applyBorder="1">
      <alignment vertical="top"/>
    </xf>
    <xf numFmtId="0" fontId="0" fillId="0" borderId="3" xfId="0" applyBorder="1">
      <alignment vertical="top"/>
    </xf>
    <xf numFmtId="0" fontId="0" fillId="0" borderId="4" xfId="0" applyBorder="1">
      <alignment vertical="top"/>
    </xf>
    <xf numFmtId="0" fontId="0" fillId="30" borderId="1" xfId="0" applyFill="1" applyAlignment="1">
      <alignment vertical="top" wrapText="1"/>
    </xf>
    <xf numFmtId="0" fontId="0" fillId="33" borderId="1" xfId="0" applyFill="1" applyAlignment="1">
      <alignment vertical="top" wrapText="1"/>
    </xf>
    <xf numFmtId="0" fontId="4" fillId="41" borderId="1" xfId="0" applyFont="1" applyFill="1" applyAlignment="1">
      <alignment vertical="top" wrapText="1"/>
    </xf>
    <xf numFmtId="0" fontId="4" fillId="42" borderId="1" xfId="0" applyFont="1" applyFill="1" applyAlignment="1">
      <alignment vertical="top" wrapText="1"/>
    </xf>
    <xf numFmtId="0" fontId="4" fillId="43" borderId="1" xfId="0" applyFont="1" applyFill="1" applyAlignment="1">
      <alignment vertical="top" wrapText="1"/>
    </xf>
    <xf numFmtId="0" fontId="0" fillId="44" borderId="1" xfId="0" applyFill="1" applyAlignment="1">
      <alignment vertical="top" wrapText="1"/>
    </xf>
    <xf numFmtId="0" fontId="4" fillId="26" borderId="1" xfId="0" applyFont="1" applyFill="1" applyBorder="1" applyAlignment="1">
      <alignment vertical="top" wrapText="1"/>
    </xf>
    <xf numFmtId="0" fontId="0" fillId="27" borderId="1" xfId="0" applyFill="1" applyBorder="1" applyAlignment="1">
      <alignment vertical="top" wrapText="1"/>
    </xf>
    <xf numFmtId="0" fontId="0" fillId="27" borderId="2" xfId="0" applyFill="1" applyBorder="1" applyAlignment="1">
      <alignment vertical="top" wrapText="1"/>
    </xf>
    <xf numFmtId="0" fontId="4" fillId="29" borderId="1" xfId="0" applyFont="1" applyFill="1" applyBorder="1" applyAlignment="1">
      <alignment vertical="top" wrapText="1"/>
    </xf>
    <xf numFmtId="0" fontId="0" fillId="30" borderId="1" xfId="0" applyFill="1" applyBorder="1" applyAlignment="1">
      <alignment vertical="top" wrapText="1"/>
    </xf>
    <xf numFmtId="0" fontId="0" fillId="30" borderId="2" xfId="0" applyFill="1" applyBorder="1" applyAlignment="1">
      <alignment vertical="top" wrapText="1"/>
    </xf>
    <xf numFmtId="0" fontId="4" fillId="32" borderId="1" xfId="0" applyFont="1" applyFill="1" applyBorder="1" applyAlignment="1">
      <alignment vertical="top" wrapText="1"/>
    </xf>
    <xf numFmtId="0" fontId="0" fillId="33" borderId="1" xfId="0" applyFill="1" applyBorder="1" applyAlignment="1">
      <alignment vertical="top" wrapText="1"/>
    </xf>
    <xf numFmtId="18" fontId="0" fillId="33" borderId="1" xfId="0" applyNumberFormat="1" applyFill="1" applyBorder="1" applyAlignment="1">
      <alignment vertical="top" wrapText="1"/>
    </xf>
    <xf numFmtId="0" fontId="0" fillId="33" borderId="2" xfId="0" applyFill="1" applyBorder="1" applyAlignment="1">
      <alignment vertical="top" wrapText="1"/>
    </xf>
    <xf numFmtId="18" fontId="0" fillId="33" borderId="2" xfId="0" applyNumberFormat="1" applyFill="1" applyBorder="1" applyAlignment="1">
      <alignment vertical="top" wrapText="1"/>
    </xf>
    <xf numFmtId="0" fontId="4" fillId="35" borderId="1" xfId="0" applyFont="1" applyFill="1" applyBorder="1" applyAlignment="1">
      <alignment vertical="top" wrapText="1"/>
    </xf>
    <xf numFmtId="0" fontId="0" fillId="36" borderId="1" xfId="0" applyFill="1" applyBorder="1" applyAlignment="1">
      <alignment vertical="top" wrapText="1"/>
    </xf>
    <xf numFmtId="0" fontId="0" fillId="36" borderId="2" xfId="0" applyFill="1" applyBorder="1" applyAlignment="1">
      <alignment vertical="top" wrapText="1"/>
    </xf>
    <xf numFmtId="0" fontId="4" fillId="38" borderId="1" xfId="0" applyFont="1" applyFill="1" applyBorder="1" applyAlignment="1">
      <alignment vertical="top" wrapText="1"/>
    </xf>
    <xf numFmtId="0" fontId="0" fillId="39" borderId="1" xfId="0" applyFill="1" applyBorder="1" applyAlignment="1">
      <alignment vertical="top" wrapText="1"/>
    </xf>
    <xf numFmtId="0" fontId="0" fillId="39" borderId="2" xfId="0" applyFill="1" applyBorder="1" applyAlignment="1">
      <alignment vertical="top" wrapText="1"/>
    </xf>
    <xf numFmtId="0" fontId="0" fillId="45" borderId="1" xfId="0" applyFill="1">
      <alignment vertical="top"/>
    </xf>
    <xf numFmtId="0" fontId="4" fillId="45" borderId="1" xfId="0" applyFont="1" applyFill="1">
      <alignment vertical="top"/>
    </xf>
    <xf numFmtId="0" fontId="10" fillId="0" borderId="1" xfId="0" applyFont="1">
      <alignment vertical="top"/>
    </xf>
    <xf numFmtId="0" fontId="1" fillId="2" borderId="1" xfId="0" applyFont="1" applyFill="1" applyBorder="1" applyAlignment="1">
      <alignment horizontal="center" vertical="top"/>
    </xf>
    <xf numFmtId="0" fontId="2" fillId="3" borderId="1" xfId="0" applyFont="1" applyFill="1" applyBorder="1">
      <alignment vertical="top"/>
    </xf>
    <xf numFmtId="0" fontId="3" fillId="3" borderId="1" xfId="0" applyFont="1" applyFill="1" applyBorder="1">
      <alignment vertical="top"/>
    </xf>
    <xf numFmtId="0" fontId="2" fillId="4" borderId="1" xfId="0" applyFont="1" applyFill="1" applyBorder="1">
      <alignment vertical="top"/>
    </xf>
    <xf numFmtId="0" fontId="3" fillId="4" borderId="1" xfId="0" applyFont="1" applyFill="1" applyBorder="1">
      <alignment vertical="top"/>
    </xf>
    <xf numFmtId="0" fontId="0" fillId="46" borderId="1" xfId="0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4" fillId="2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0" fontId="11" fillId="47" borderId="1" xfId="0" applyFont="1" applyFill="1" applyBorder="1" applyAlignment="1">
      <alignment horizontal="center" vertical="top" wrapText="1"/>
    </xf>
    <xf numFmtId="0" fontId="11" fillId="47" borderId="1" xfId="0" applyFont="1" applyFill="1" applyAlignment="1">
      <alignment horizontal="center" vertical="top"/>
    </xf>
    <xf numFmtId="0" fontId="11" fillId="48" borderId="1" xfId="0" applyFont="1" applyFill="1" applyBorder="1" applyAlignment="1">
      <alignment horizontal="center" vertical="top" wrapText="1"/>
    </xf>
    <xf numFmtId="0" fontId="11" fillId="48" borderId="1" xfId="0" applyFont="1" applyFill="1">
      <alignment vertical="top"/>
    </xf>
    <xf numFmtId="0" fontId="11" fillId="48" borderId="1" xfId="0" applyFont="1" applyFill="1" applyAlignment="1">
      <alignment horizontal="center" vertical="top"/>
    </xf>
    <xf numFmtId="0" fontId="12" fillId="0" borderId="1" xfId="0" applyFont="1" applyBorder="1" applyAlignment="1">
      <alignment horizontal="center" vertical="top" wrapText="1"/>
    </xf>
    <xf numFmtId="0" fontId="12" fillId="0" borderId="2" xfId="0" applyFont="1" applyBorder="1" applyAlignment="1">
      <alignment horizontal="center" vertical="top" wrapText="1"/>
    </xf>
    <xf numFmtId="0" fontId="13" fillId="22" borderId="3" xfId="0" applyFont="1" applyFill="1" applyBorder="1" applyAlignment="1">
      <alignment horizontal="center" vertical="top"/>
    </xf>
    <xf numFmtId="0" fontId="12" fillId="0" borderId="3" xfId="0" applyFont="1" applyBorder="1" applyAlignment="1">
      <alignment horizontal="center" vertical="top"/>
    </xf>
    <xf numFmtId="0" fontId="5" fillId="47" borderId="1" xfId="0" applyFont="1" applyFill="1">
      <alignment vertical="top"/>
    </xf>
    <xf numFmtId="0" fontId="14" fillId="0" borderId="1" xfId="0" applyFont="1">
      <alignment vertical="top"/>
    </xf>
    <xf numFmtId="0" fontId="4" fillId="0" borderId="1" xfId="0" applyFont="1">
      <alignment vertical="top"/>
    </xf>
    <xf numFmtId="0" fontId="7" fillId="47" borderId="1" xfId="0" applyFont="1" applyFill="1">
      <alignment vertical="top"/>
    </xf>
    <xf numFmtId="9" fontId="0" fillId="0" borderId="1" xfId="0" applyNumberFormat="1">
      <alignment vertical="top"/>
    </xf>
    <xf numFmtId="164" fontId="0" fillId="0" borderId="1" xfId="0" applyNumberFormat="1">
      <alignment vertical="top"/>
    </xf>
    <xf numFmtId="164" fontId="13" fillId="0" borderId="1" xfId="0" applyNumberFormat="1" applyFont="1">
      <alignment vertical="top"/>
    </xf>
    <xf numFmtId="164" fontId="0" fillId="0" borderId="1" xfId="0" applyNumberFormat="1" applyAlignment="1">
      <alignment horizontal="center" vertical="top"/>
    </xf>
    <xf numFmtId="0" fontId="4" fillId="0" borderId="1" xfId="0" applyFont="1" applyAlignment="1">
      <alignment horizontal="center" vertical="top"/>
    </xf>
    <xf numFmtId="165" fontId="0" fillId="0" borderId="1" xfId="0" applyNumberFormat="1" applyAlignment="1">
      <alignment horizontal="center" vertical="top"/>
    </xf>
    <xf numFmtId="0" fontId="15" fillId="0" borderId="1" xfId="0" applyFont="1">
      <alignment vertical="top"/>
    </xf>
    <xf numFmtId="0" fontId="4" fillId="45" borderId="1" xfId="0" applyFont="1" applyFill="1" applyAlignment="1">
      <alignment horizontal="center" vertical="top"/>
    </xf>
    <xf numFmtId="164" fontId="4" fillId="45" borderId="1" xfId="0" applyNumberFormat="1" applyFont="1" applyFill="1" applyAlignment="1">
      <alignment horizontal="center" vertical="top"/>
    </xf>
    <xf numFmtId="0" fontId="7" fillId="5" borderId="1" xfId="0" applyFont="1" applyFill="1">
      <alignment vertical="top"/>
    </xf>
    <xf numFmtId="0" fontId="12" fillId="49" borderId="1" xfId="0" applyFont="1" applyFill="1">
      <alignment vertical="top"/>
    </xf>
    <xf numFmtId="0" fontId="12" fillId="49" borderId="1" xfId="0" applyFont="1" applyFill="1" applyAlignment="1">
      <alignment horizontal="center" vertical="top"/>
    </xf>
    <xf numFmtId="0" fontId="16" fillId="50" borderId="1" xfId="0" applyFont="1" applyFill="1">
      <alignment vertical="top"/>
    </xf>
    <xf numFmtId="0" fontId="17" fillId="51" borderId="1" xfId="0" applyFont="1" applyFill="1" applyAlignment="1">
      <alignment vertical="top" wrapText="1"/>
    </xf>
    <xf numFmtId="0" fontId="11" fillId="52" borderId="1" xfId="0" applyFont="1" applyFill="1" applyAlignment="1">
      <alignment horizontal="center" vertical="top"/>
    </xf>
    <xf numFmtId="0" fontId="0" fillId="0" borderId="1" xfId="0" applyAlignment="1">
      <alignment horizontal="center" vertical="top"/>
    </xf>
    <xf numFmtId="0" fontId="12" fillId="0" borderId="1" xfId="0" applyFont="1" applyAlignment="1">
      <alignment horizontal="center" vertical="top"/>
    </xf>
    <xf numFmtId="9" fontId="0" fillId="0" borderId="1" xfId="0" applyNumberFormat="1" applyAlignment="1">
      <alignment horizontal="center" vertical="top"/>
    </xf>
    <xf numFmtId="0" fontId="0" fillId="0" borderId="1" xfId="0" applyAlignment="1">
      <alignment vertical="top" wrapText="1"/>
    </xf>
    <xf numFmtId="0" fontId="7" fillId="13" borderId="1" xfId="0" applyFont="1" applyFill="1" applyAlignment="1">
      <alignment vertical="top"/>
    </xf>
    <xf numFmtId="0" fontId="0" fillId="0" borderId="1" xfId="0" applyAlignment="1">
      <alignment vertical="top"/>
    </xf>
    <xf numFmtId="0" fontId="7" fillId="15" borderId="1" xfId="0" applyFont="1" applyFill="1" applyAlignment="1">
      <alignment vertical="top"/>
    </xf>
    <xf numFmtId="0" fontId="7" fillId="17" borderId="1" xfId="0" applyFont="1" applyFill="1" applyAlignment="1">
      <alignment vertical="top"/>
    </xf>
    <xf numFmtId="0" fontId="7" fillId="19" borderId="1" xfId="0" applyFont="1" applyFill="1" applyAlignment="1">
      <alignment vertical="top"/>
    </xf>
    <xf numFmtId="0" fontId="7" fillId="21" borderId="1" xfId="0" applyFont="1" applyFill="1" applyAlignment="1">
      <alignment vertical="top"/>
    </xf>
    <xf numFmtId="0" fontId="0" fillId="0" borderId="1" xfId="0" applyAlignment="1">
      <alignment horizontal="center" vertical="top"/>
    </xf>
    <xf numFmtId="0" fontId="12" fillId="0" borderId="1" xfId="0" applyFont="1" applyAlignment="1">
      <alignment horizontal="center" vertical="top"/>
    </xf>
    <xf numFmtId="9" fontId="0" fillId="0" borderId="1" xfId="0" applyNumberFormat="1" applyAlignment="1">
      <alignment horizontal="center" vertical="top"/>
    </xf>
    <xf numFmtId="0" fontId="5" fillId="5" borderId="1" xfId="0" applyFont="1" applyFill="1" applyAlignment="1">
      <alignment vertical="top"/>
    </xf>
    <xf numFmtId="0" fontId="6" fillId="6" borderId="1" xfId="0" applyFont="1" applyFill="1" applyAlignment="1">
      <alignment vertical="top"/>
    </xf>
    <xf numFmtId="0" fontId="7" fillId="7" borderId="1" xfId="0" applyFont="1" applyFill="1" applyAlignment="1">
      <alignment vertical="top"/>
    </xf>
    <xf numFmtId="0" fontId="7" fillId="9" borderId="1" xfId="0" applyFont="1" applyFill="1" applyAlignment="1">
      <alignment vertical="top"/>
    </xf>
    <xf numFmtId="0" fontId="7" fillId="11" borderId="1" xfId="0" applyFont="1" applyFill="1" applyAlignment="1">
      <alignment vertical="top"/>
    </xf>
    <xf numFmtId="0" fontId="7" fillId="37" borderId="1" xfId="0" applyFont="1" applyFill="1" applyAlignment="1">
      <alignment vertical="top" wrapText="1"/>
    </xf>
    <xf numFmtId="0" fontId="0" fillId="0" borderId="1" xfId="0" applyAlignment="1">
      <alignment vertical="top" wrapText="1"/>
    </xf>
    <xf numFmtId="0" fontId="9" fillId="40" borderId="1" xfId="0" applyFont="1" applyFill="1" applyAlignment="1">
      <alignment horizontal="center" vertical="top" wrapText="1"/>
    </xf>
    <xf numFmtId="0" fontId="5" fillId="23" borderId="1" xfId="0" applyFont="1" applyFill="1" applyAlignment="1">
      <alignment horizontal="center" vertical="top" wrapText="1"/>
    </xf>
    <xf numFmtId="0" fontId="8" fillId="24" borderId="1" xfId="0" applyFont="1" applyFill="1" applyAlignment="1">
      <alignment horizontal="center" vertical="top" wrapText="1"/>
    </xf>
    <xf numFmtId="0" fontId="7" fillId="25" borderId="1" xfId="0" applyFont="1" applyFill="1" applyAlignment="1">
      <alignment vertical="top" wrapText="1"/>
    </xf>
    <xf numFmtId="0" fontId="7" fillId="28" borderId="1" xfId="0" applyFont="1" applyFill="1" applyAlignment="1">
      <alignment vertical="top" wrapText="1"/>
    </xf>
    <xf numFmtId="0" fontId="7" fillId="31" borderId="1" xfId="0" applyFont="1" applyFill="1" applyAlignment="1">
      <alignment vertical="top" wrapText="1"/>
    </xf>
    <xf numFmtId="0" fontId="7" fillId="34" borderId="1" xfId="0" applyFont="1" applyFill="1" applyAlignment="1">
      <alignment vertical="top" wrapText="1"/>
    </xf>
    <xf numFmtId="0" fontId="6" fillId="10" borderId="1" xfId="0" applyFont="1" applyFill="1" applyAlignment="1">
      <alignment vertical="top"/>
    </xf>
    <xf numFmtId="0" fontId="6" fillId="20" borderId="1" xfId="0" applyFont="1" applyFill="1" applyAlignment="1">
      <alignment vertical="top"/>
    </xf>
    <xf numFmtId="0" fontId="5" fillId="7" borderId="1" xfId="0" applyFont="1" applyFill="1" applyAlignment="1">
      <alignment vertical="top"/>
    </xf>
    <xf numFmtId="0" fontId="6" fillId="8" borderId="1" xfId="0" applyFont="1" applyFill="1" applyAlignment="1">
      <alignment vertical="top"/>
    </xf>
    <xf numFmtId="0" fontId="5" fillId="9" borderId="1" xfId="0" applyFont="1" applyFill="1" applyAlignment="1">
      <alignment vertical="top"/>
    </xf>
  </cellXfs>
  <cellStyles count="1">
    <cellStyle name="Normal" xfId="0" builtinId="0"/>
  </cellStyles>
  <dxfs count="6"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003399"/>
      </font>
      <fill>
        <patternFill patternType="solid">
          <fgColor indexed="64"/>
          <bgColor rgb="FFDDEEFF"/>
        </patternFill>
      </fill>
    </dxf>
    <dxf>
      <font>
        <color rgb="FF9C6500"/>
      </font>
      <fill>
        <patternFill patternType="solid">
          <fgColor indexed="64"/>
          <bgColor rgb="FFFFEB9C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  <dxf>
      <font>
        <color rgb="FF276221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21CE2C89-F62E-4B40-A9BB-9909C12F06BE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c6dc91f2-e117-4b0b-9225-1b889cd945a6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reddit.com/r/datingoverthirty/" TargetMode="External"/><Relationship Id="rId3" Type="http://schemas.openxmlformats.org/officeDocument/2006/relationships/hyperlink" Target="https://www.reddit.com/r/OnlineDating/" TargetMode="External"/><Relationship Id="rId7" Type="http://schemas.openxmlformats.org/officeDocument/2006/relationships/hyperlink" Target="https://www.reddit.com/r/OkCupid/" TargetMode="External"/><Relationship Id="rId2" Type="http://schemas.openxmlformats.org/officeDocument/2006/relationships/hyperlink" Target="https://www.reddit.com/r/dating/" TargetMode="External"/><Relationship Id="rId1" Type="http://schemas.openxmlformats.org/officeDocument/2006/relationships/hyperlink" Target="https://www.reddit.com/r/Tinder/" TargetMode="External"/><Relationship Id="rId6" Type="http://schemas.openxmlformats.org/officeDocument/2006/relationships/hyperlink" Target="https://www.reddit.com/r/Singles/" TargetMode="External"/><Relationship Id="rId5" Type="http://schemas.openxmlformats.org/officeDocument/2006/relationships/hyperlink" Target="https://www.reddit.com/r/DatingApps/" TargetMode="External"/><Relationship Id="rId10" Type="http://schemas.openxmlformats.org/officeDocument/2006/relationships/hyperlink" Target="https://www.reddit.com/r/relationship_advice/" TargetMode="External"/><Relationship Id="rId4" Type="http://schemas.openxmlformats.org/officeDocument/2006/relationships/hyperlink" Target="https://www.reddit.com/r/r4r/" TargetMode="External"/><Relationship Id="rId9" Type="http://schemas.openxmlformats.org/officeDocument/2006/relationships/hyperlink" Target="https://www.reddit.com/r/dating_advice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isboard.org/servers/tag/dating" TargetMode="External"/><Relationship Id="rId3" Type="http://schemas.openxmlformats.org/officeDocument/2006/relationships/hyperlink" Target="https://discord.gg/edatings" TargetMode="External"/><Relationship Id="rId7" Type="http://schemas.openxmlformats.org/officeDocument/2006/relationships/hyperlink" Target="https://disboard.org/servers/tag/dating" TargetMode="External"/><Relationship Id="rId2" Type="http://schemas.openxmlformats.org/officeDocument/2006/relationships/hyperlink" Target="https://disboard.org/servers/tag/dating?sort=-member_count" TargetMode="External"/><Relationship Id="rId1" Type="http://schemas.openxmlformats.org/officeDocument/2006/relationships/hyperlink" Target="https://disboard.org/servers/tag/dating?sort=-member_count" TargetMode="External"/><Relationship Id="rId6" Type="http://schemas.openxmlformats.org/officeDocument/2006/relationships/hyperlink" Target="https://disboard.org/servers/tag/dating" TargetMode="External"/><Relationship Id="rId5" Type="http://schemas.openxmlformats.org/officeDocument/2006/relationships/hyperlink" Target="https://disboard.org/servers/tag/dating" TargetMode="External"/><Relationship Id="rId10" Type="http://schemas.openxmlformats.org/officeDocument/2006/relationships/hyperlink" Target="https://thehiveindex.com/topics/dating/" TargetMode="External"/><Relationship Id="rId4" Type="http://schemas.openxmlformats.org/officeDocument/2006/relationships/hyperlink" Target="https://discord.gg/bait" TargetMode="External"/><Relationship Id="rId9" Type="http://schemas.openxmlformats.org/officeDocument/2006/relationships/hyperlink" Target="https://disboard.org/servers/tag/dating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instagram.com/explore/tags/dating/" TargetMode="External"/><Relationship Id="rId13" Type="http://schemas.openxmlformats.org/officeDocument/2006/relationships/hyperlink" Target="https://x.com/hashtag/onlinedating" TargetMode="External"/><Relationship Id="rId3" Type="http://schemas.openxmlformats.org/officeDocument/2006/relationships/hyperlink" Target="https://www.tiktok.com/tag/relationshipgoals" TargetMode="External"/><Relationship Id="rId7" Type="http://schemas.openxmlformats.org/officeDocument/2006/relationships/hyperlink" Target="https://www.threads.com/@thepureapp" TargetMode="External"/><Relationship Id="rId12" Type="http://schemas.openxmlformats.org/officeDocument/2006/relationships/hyperlink" Target="https://x.com/hashtag/datingadvice" TargetMode="External"/><Relationship Id="rId2" Type="http://schemas.openxmlformats.org/officeDocument/2006/relationships/hyperlink" Target="https://www.tiktok.com/tag/datingadvice" TargetMode="External"/><Relationship Id="rId1" Type="http://schemas.openxmlformats.org/officeDocument/2006/relationships/hyperlink" Target="https://www.tiktok.com/tag/dating" TargetMode="External"/><Relationship Id="rId6" Type="http://schemas.openxmlformats.org/officeDocument/2006/relationships/hyperlink" Target="https://www.threads.com/tag/dating" TargetMode="External"/><Relationship Id="rId11" Type="http://schemas.openxmlformats.org/officeDocument/2006/relationships/hyperlink" Target="https://www.instagram.com/explore/tags/singlelife/" TargetMode="External"/><Relationship Id="rId5" Type="http://schemas.openxmlformats.org/officeDocument/2006/relationships/hyperlink" Target="https://www.tiktok.com/tag/datingapps" TargetMode="External"/><Relationship Id="rId10" Type="http://schemas.openxmlformats.org/officeDocument/2006/relationships/hyperlink" Target="https://www.instagram.com/explore/tags/love/" TargetMode="External"/><Relationship Id="rId4" Type="http://schemas.openxmlformats.org/officeDocument/2006/relationships/hyperlink" Target="https://www.tiktok.com/tag/onlinedating" TargetMode="External"/><Relationship Id="rId9" Type="http://schemas.openxmlformats.org/officeDocument/2006/relationships/hyperlink" Target="https://www.instagram.com/explore/tags/relationshipgoals/" TargetMode="External"/><Relationship Id="rId14" Type="http://schemas.openxmlformats.org/officeDocument/2006/relationships/hyperlink" Target="https://x.com/hashtagdatinghq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artupranking.com/" TargetMode="External"/><Relationship Id="rId3" Type="http://schemas.openxmlformats.org/officeDocument/2006/relationships/hyperlink" Target="https://startupbase.io/" TargetMode="External"/><Relationship Id="rId7" Type="http://schemas.openxmlformats.org/officeDocument/2006/relationships/hyperlink" Target="https://killerstartups.com/" TargetMode="External"/><Relationship Id="rId2" Type="http://schemas.openxmlformats.org/officeDocument/2006/relationships/hyperlink" Target="https://betalist.com/submit" TargetMode="External"/><Relationship Id="rId1" Type="http://schemas.openxmlformats.org/officeDocument/2006/relationships/hyperlink" Target="https://www.producthunt.com/launch" TargetMode="External"/><Relationship Id="rId6" Type="http://schemas.openxmlformats.org/officeDocument/2006/relationships/hyperlink" Target="https://microlaunch.net/" TargetMode="External"/><Relationship Id="rId5" Type="http://schemas.openxmlformats.org/officeDocument/2006/relationships/hyperlink" Target="https://www.indiehackers.com/" TargetMode="External"/><Relationship Id="rId10" Type="http://schemas.openxmlformats.org/officeDocument/2006/relationships/hyperlink" Target="https://www.saashub.com/" TargetMode="External"/><Relationship Id="rId4" Type="http://schemas.openxmlformats.org/officeDocument/2006/relationships/hyperlink" Target="https://news.ycombinator.com/showhn.html" TargetMode="External"/><Relationship Id="rId9" Type="http://schemas.openxmlformats.org/officeDocument/2006/relationships/hyperlink" Target="https://alternativeto.net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facebook.com/groups/" TargetMode="External"/><Relationship Id="rId3" Type="http://schemas.openxmlformats.org/officeDocument/2006/relationships/hyperlink" Target="https://www.facebook.com/groups/modernmeet/" TargetMode="External"/><Relationship Id="rId7" Type="http://schemas.openxmlformats.org/officeDocument/2006/relationships/hyperlink" Target="https://www.facebook.com/groups/" TargetMode="External"/><Relationship Id="rId2" Type="http://schemas.openxmlformats.org/officeDocument/2006/relationships/hyperlink" Target="https://www.facebook.com/groups/RELATIONSHIPADVICE2K7/" TargetMode="External"/><Relationship Id="rId1" Type="http://schemas.openxmlformats.org/officeDocument/2006/relationships/hyperlink" Target="https://www.facebook.com/groups/554021108616989/" TargetMode="External"/><Relationship Id="rId6" Type="http://schemas.openxmlformats.org/officeDocument/2006/relationships/hyperlink" Target="https://www.facebook.com/groups/" TargetMode="External"/><Relationship Id="rId5" Type="http://schemas.openxmlformats.org/officeDocument/2006/relationships/hyperlink" Target="https://www.facebook.com/groups/" TargetMode="External"/><Relationship Id="rId4" Type="http://schemas.openxmlformats.org/officeDocument/2006/relationships/hyperlink" Target="https://www.facebook.com/groups/309709170838370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hubspot.com/" TargetMode="External"/><Relationship Id="rId3" Type="http://schemas.openxmlformats.org/officeDocument/2006/relationships/hyperlink" Target="https://www.beehiiv.com/" TargetMode="External"/><Relationship Id="rId7" Type="http://schemas.openxmlformats.org/officeDocument/2006/relationships/hyperlink" Target="https://www.mailjet.com/" TargetMode="External"/><Relationship Id="rId2" Type="http://schemas.openxmlformats.org/officeDocument/2006/relationships/hyperlink" Target="https://www.brevo.com/" TargetMode="External"/><Relationship Id="rId1" Type="http://schemas.openxmlformats.org/officeDocument/2006/relationships/hyperlink" Target="https://mailchimp.com/" TargetMode="External"/><Relationship Id="rId6" Type="http://schemas.openxmlformats.org/officeDocument/2006/relationships/hyperlink" Target="https://www.sender.net/" TargetMode="External"/><Relationship Id="rId5" Type="http://schemas.openxmlformats.org/officeDocument/2006/relationships/hyperlink" Target="https://moosend.com/" TargetMode="External"/><Relationship Id="rId4" Type="http://schemas.openxmlformats.org/officeDocument/2006/relationships/hyperlink" Target="https://www.mailerlite.com/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thehiveindex.com/topics/dating/" TargetMode="External"/><Relationship Id="rId3" Type="http://schemas.openxmlformats.org/officeDocument/2006/relationships/hyperlink" Target="https://www.skool.com/" TargetMode="External"/><Relationship Id="rId7" Type="http://schemas.openxmlformats.org/officeDocument/2006/relationships/hyperlink" Target="https://saltdating.com/" TargetMode="External"/><Relationship Id="rId2" Type="http://schemas.openxmlformats.org/officeDocument/2006/relationships/hyperlink" Target="https://www.quora.com/topic/Relationships" TargetMode="External"/><Relationship Id="rId1" Type="http://schemas.openxmlformats.org/officeDocument/2006/relationships/hyperlink" Target="https://thebigdatingspace.quora.com/" TargetMode="External"/><Relationship Id="rId6" Type="http://schemas.openxmlformats.org/officeDocument/2006/relationships/hyperlink" Target="https://www.mingle2.com/" TargetMode="External"/><Relationship Id="rId5" Type="http://schemas.openxmlformats.org/officeDocument/2006/relationships/hyperlink" Target="https://www.enotalone.com/" TargetMode="External"/><Relationship Id="rId4" Type="http://schemas.openxmlformats.org/officeDocument/2006/relationships/hyperlink" Target="https://www.loveshack.or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41548-914D-A385-4D58-053DC781F2F8}">
  <dimension ref="A1:J11"/>
  <sheetViews>
    <sheetView tabSelected="1"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9.140625" bestFit="1" customWidth="1"/>
    <col min="2" max="2" width="19.42578125" bestFit="1" customWidth="1"/>
    <col min="3" max="3" width="21.85546875" bestFit="1" customWidth="1"/>
    <col min="4" max="4" width="42.5703125" bestFit="1" customWidth="1"/>
    <col min="5" max="5" width="18" bestFit="1" customWidth="1"/>
    <col min="6" max="6" width="39.42578125" customWidth="1"/>
    <col min="7" max="7" width="12.85546875" bestFit="1" customWidth="1"/>
    <col min="8" max="8" width="20.7109375" bestFit="1" customWidth="1"/>
    <col min="9" max="9" width="12.85546875" bestFit="1" customWidth="1"/>
    <col min="10" max="10" width="14.140625" bestFit="1" customWidth="1"/>
  </cols>
  <sheetData>
    <row r="1" spans="1:10" ht="16.5" customHeight="1">
      <c r="A1" s="42" t="s">
        <v>0</v>
      </c>
      <c r="B1" s="42" t="s">
        <v>1</v>
      </c>
      <c r="C1" s="42" t="s">
        <v>2</v>
      </c>
      <c r="D1" s="42" t="s">
        <v>3</v>
      </c>
      <c r="E1" s="42" t="s">
        <v>4</v>
      </c>
      <c r="F1" s="42" t="s">
        <v>5</v>
      </c>
      <c r="G1" s="56" t="s">
        <v>6</v>
      </c>
      <c r="H1" s="56" t="s">
        <v>7</v>
      </c>
      <c r="I1" s="56" t="s">
        <v>8</v>
      </c>
      <c r="J1" s="56" t="s">
        <v>9</v>
      </c>
    </row>
    <row r="2" spans="1:10" ht="15" customHeight="1">
      <c r="A2" s="43" t="s">
        <v>10</v>
      </c>
      <c r="B2" s="43" t="s">
        <v>11</v>
      </c>
      <c r="C2" s="43" t="s">
        <v>12</v>
      </c>
      <c r="D2" s="44" t="s">
        <v>13</v>
      </c>
      <c r="E2" s="43" t="s">
        <v>14</v>
      </c>
      <c r="F2" s="43" t="s">
        <v>15</v>
      </c>
      <c r="G2" s="80">
        <f>IF(E2="Very High",3,IF(E2="High",2,1))*IF(C2&gt;="5,000,000",3,IF(C2&gt;="500,000",2,1))</f>
        <v>9</v>
      </c>
      <c r="H2" s="80" t="str">
        <f>IF(G2=9,"🔥 Daily - Top Priority",IF(G2&gt;=6,"⬆️ High - 5x/week",IF(G2&gt;=3,"➡️ Medium - 3x/week","⬇️ Low - Weekly")))</f>
        <v>🔥 Daily - Top Priority</v>
      </c>
      <c r="I2" s="80" t="s">
        <v>16</v>
      </c>
      <c r="J2" s="80" t="s">
        <v>17</v>
      </c>
    </row>
    <row r="3" spans="1:10" ht="15" customHeight="1">
      <c r="A3" s="45" t="s">
        <v>10</v>
      </c>
      <c r="B3" s="45" t="s">
        <v>18</v>
      </c>
      <c r="C3" s="45" t="s">
        <v>19</v>
      </c>
      <c r="D3" s="46" t="s">
        <v>20</v>
      </c>
      <c r="E3" s="45" t="s">
        <v>21</v>
      </c>
      <c r="F3" s="45" t="s">
        <v>22</v>
      </c>
      <c r="G3" s="80">
        <f>IF(E3="Very High",3,IF(E3="High",2,1))*IF(C3&gt;="5,000,000",3,IF(C3&gt;="500,000",2,1))</f>
        <v>6</v>
      </c>
      <c r="H3" s="80" t="str">
        <f>IF(G3=9,"🔥 Daily - Top Priority",IF(G3&gt;=6,"⬆️ High - 5x/week",IF(G3&gt;=3,"➡️ Medium - 3x/week","⬇️ Low - Weekly")))</f>
        <v>⬆️ High - 5x/week</v>
      </c>
      <c r="I3" s="80" t="s">
        <v>16</v>
      </c>
      <c r="J3" s="80" t="s">
        <v>17</v>
      </c>
    </row>
    <row r="4" spans="1:10" ht="15" customHeight="1">
      <c r="A4" s="43" t="s">
        <v>10</v>
      </c>
      <c r="B4" s="43" t="s">
        <v>23</v>
      </c>
      <c r="C4" s="43" t="s">
        <v>24</v>
      </c>
      <c r="D4" s="44" t="s">
        <v>25</v>
      </c>
      <c r="E4" s="43" t="s">
        <v>21</v>
      </c>
      <c r="F4" s="43" t="s">
        <v>26</v>
      </c>
      <c r="G4" s="80">
        <f>IF(E4="Very High",3,IF(E4="High",2,1))*IF(C4&gt;="5,000,000",3,IF(C4&gt;="500,000",2,1))</f>
        <v>2</v>
      </c>
      <c r="H4" s="80" t="str">
        <f>IF(G4=9,"🔥 Daily - Top Priority",IF(G4&gt;=6,"⬆️ High - 5x/week",IF(G4&gt;=3,"➡️ Medium - 3x/week","⬇️ Low - Weekly")))</f>
        <v>⬇️ Low - Weekly</v>
      </c>
      <c r="I4" s="80" t="s">
        <v>16</v>
      </c>
      <c r="J4" s="80" t="s">
        <v>17</v>
      </c>
    </row>
    <row r="5" spans="1:10" ht="15" customHeight="1">
      <c r="A5" s="45" t="s">
        <v>10</v>
      </c>
      <c r="B5" s="45" t="s">
        <v>27</v>
      </c>
      <c r="C5" s="45" t="s">
        <v>28</v>
      </c>
      <c r="D5" s="46" t="s">
        <v>29</v>
      </c>
      <c r="E5" s="45" t="s">
        <v>21</v>
      </c>
      <c r="F5" s="45" t="s">
        <v>30</v>
      </c>
      <c r="G5" s="80">
        <f>IF(E5="Very High",3,IF(E5="High",2,1))*IF(C5&gt;="5,000,000",3,IF(C5&gt;="500,000",2,1))</f>
        <v>6</v>
      </c>
      <c r="H5" s="80" t="str">
        <f>IF(G5=9,"🔥 Daily - Top Priority",IF(G5&gt;=6,"⬆️ High - 5x/week",IF(G5&gt;=3,"➡️ Medium - 3x/week","⬇️ Low - Weekly")))</f>
        <v>⬆️ High - 5x/week</v>
      </c>
      <c r="I5" s="80" t="s">
        <v>16</v>
      </c>
      <c r="J5" s="80" t="s">
        <v>17</v>
      </c>
    </row>
    <row r="6" spans="1:10" ht="15" customHeight="1">
      <c r="A6" s="43" t="s">
        <v>10</v>
      </c>
      <c r="B6" s="43" t="s">
        <v>31</v>
      </c>
      <c r="C6" s="43" t="s">
        <v>32</v>
      </c>
      <c r="D6" s="44" t="s">
        <v>33</v>
      </c>
      <c r="E6" s="43" t="s">
        <v>34</v>
      </c>
      <c r="F6" s="43" t="s">
        <v>35</v>
      </c>
      <c r="G6" s="80">
        <f>IF(E6="Very High",3,IF(E6="High",2,1))*IF(C6&gt;="5,000,000",3,IF(C6&gt;="500,000",2,1))</f>
        <v>1</v>
      </c>
      <c r="H6" s="80" t="str">
        <f>IF(G6=9,"🔥 Daily - Top Priority",IF(G6&gt;=6,"⬆️ High - 5x/week",IF(G6&gt;=3,"➡️ Medium - 3x/week","⬇️ Low - Weekly")))</f>
        <v>⬇️ Low - Weekly</v>
      </c>
      <c r="I6" s="80" t="s">
        <v>16</v>
      </c>
      <c r="J6" s="80" t="s">
        <v>17</v>
      </c>
    </row>
    <row r="7" spans="1:10" ht="15" customHeight="1">
      <c r="A7" s="45" t="s">
        <v>10</v>
      </c>
      <c r="B7" s="45" t="s">
        <v>36</v>
      </c>
      <c r="C7" s="45" t="s">
        <v>37</v>
      </c>
      <c r="D7" s="46" t="s">
        <v>38</v>
      </c>
      <c r="E7" s="45" t="s">
        <v>39</v>
      </c>
      <c r="F7" s="45" t="s">
        <v>40</v>
      </c>
      <c r="G7" s="80">
        <f>IF(E7="Very High",3,IF(E7="High",2,1))*IF(C7&gt;="5,000,000",3,IF(C7&gt;="500,000",2,1))</f>
        <v>3</v>
      </c>
      <c r="H7" s="80" t="str">
        <f>IF(G7=9,"🔥 Daily - Top Priority",IF(G7&gt;=6,"⬆️ High - 5x/week",IF(G7&gt;=3,"➡️ Medium - 3x/week","⬇️ Low - Weekly")))</f>
        <v>➡️ Medium - 3x/week</v>
      </c>
      <c r="I7" s="80" t="s">
        <v>16</v>
      </c>
      <c r="J7" s="80" t="s">
        <v>17</v>
      </c>
    </row>
    <row r="8" spans="1:10" ht="15" customHeight="1">
      <c r="A8" s="43" t="s">
        <v>10</v>
      </c>
      <c r="B8" s="43" t="s">
        <v>41</v>
      </c>
      <c r="C8" s="43" t="s">
        <v>42</v>
      </c>
      <c r="D8" s="44" t="s">
        <v>43</v>
      </c>
      <c r="E8" s="43" t="s">
        <v>39</v>
      </c>
      <c r="F8" s="43" t="s">
        <v>44</v>
      </c>
      <c r="G8" s="80">
        <f>IF(E8="Very High",3,IF(E8="High",2,1))*IF(C8&gt;="5,000,000",3,IF(C8&gt;="500,000",2,1))</f>
        <v>1</v>
      </c>
      <c r="H8" s="80" t="str">
        <f>IF(G8=9,"🔥 Daily - Top Priority",IF(G8&gt;=6,"⬆️ High - 5x/week",IF(G8&gt;=3,"➡️ Medium - 3x/week","⬇️ Low - Weekly")))</f>
        <v>⬇️ Low - Weekly</v>
      </c>
      <c r="I8" s="80" t="s">
        <v>16</v>
      </c>
      <c r="J8" s="80" t="s">
        <v>17</v>
      </c>
    </row>
    <row r="9" spans="1:10" ht="15" customHeight="1">
      <c r="A9" s="45" t="s">
        <v>10</v>
      </c>
      <c r="B9" s="45" t="s">
        <v>45</v>
      </c>
      <c r="C9" s="45" t="s">
        <v>46</v>
      </c>
      <c r="D9" s="46" t="s">
        <v>47</v>
      </c>
      <c r="E9" s="45" t="s">
        <v>21</v>
      </c>
      <c r="F9" s="45" t="s">
        <v>48</v>
      </c>
      <c r="G9" s="80">
        <f>IF(E9="Very High",3,IF(E9="High",2,1))*IF(C9&gt;="5,000,000",3,IF(C9&gt;="500,000",2,1))</f>
        <v>6</v>
      </c>
      <c r="H9" s="80" t="str">
        <f>IF(G9=9,"🔥 Daily - Top Priority",IF(G9&gt;=6,"⬆️ High - 5x/week",IF(G9&gt;=3,"➡️ Medium - 3x/week","⬇️ Low - Weekly")))</f>
        <v>⬆️ High - 5x/week</v>
      </c>
      <c r="I9" s="80" t="s">
        <v>16</v>
      </c>
      <c r="J9" s="80" t="s">
        <v>17</v>
      </c>
    </row>
    <row r="10" spans="1:10" ht="15" customHeight="1">
      <c r="A10" s="43" t="s">
        <v>10</v>
      </c>
      <c r="B10" s="43" t="s">
        <v>49</v>
      </c>
      <c r="C10" s="43" t="s">
        <v>50</v>
      </c>
      <c r="D10" s="44" t="s">
        <v>51</v>
      </c>
      <c r="E10" s="43" t="s">
        <v>14</v>
      </c>
      <c r="F10" s="43" t="s">
        <v>52</v>
      </c>
      <c r="G10" s="80">
        <f>IF(E10="Very High",3,IF(E10="High",2,1))*IF(C10&gt;="5,000,000",3,IF(C10&gt;="500,000",2,1))</f>
        <v>9</v>
      </c>
      <c r="H10" s="80" t="str">
        <f>IF(G10=9,"🔥 Daily - Top Priority",IF(G10&gt;=6,"⬆️ High - 5x/week",IF(G10&gt;=3,"➡️ Medium - 3x/week","⬇️ Low - Weekly")))</f>
        <v>🔥 Daily - Top Priority</v>
      </c>
      <c r="I10" s="80" t="s">
        <v>16</v>
      </c>
      <c r="J10" s="80" t="s">
        <v>17</v>
      </c>
    </row>
    <row r="11" spans="1:10" ht="15" customHeight="1">
      <c r="A11" s="45" t="s">
        <v>10</v>
      </c>
      <c r="B11" s="45" t="s">
        <v>53</v>
      </c>
      <c r="C11" s="45" t="s">
        <v>54</v>
      </c>
      <c r="D11" s="46" t="s">
        <v>55</v>
      </c>
      <c r="E11" s="45" t="s">
        <v>14</v>
      </c>
      <c r="F11" s="45" t="s">
        <v>56</v>
      </c>
      <c r="G11" s="80">
        <f>IF(E11="Very High",3,IF(E11="High",2,1))*IF(C11&gt;="5,000,000",3,IF(C11&gt;="500,000",2,1))</f>
        <v>3</v>
      </c>
      <c r="H11" s="80" t="str">
        <f>IF(G11=9,"🔥 Daily - Top Priority",IF(G11&gt;=6,"⬆️ High - 5x/week",IF(G11&gt;=3,"➡️ Medium - 3x/week","⬇️ Low - Weekly")))</f>
        <v>➡️ Medium - 3x/week</v>
      </c>
      <c r="I11" s="80" t="s">
        <v>16</v>
      </c>
      <c r="J11" s="80" t="s">
        <v>17</v>
      </c>
    </row>
  </sheetData>
  <conditionalFormatting sqref="G2:G1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{78738569-0A12-4BD1-B0D5-C6F2F7ACF573}</x14:id>
        </ext>
      </extLst>
    </cfRule>
  </conditionalFormatting>
  <conditionalFormatting sqref="I2:I11">
    <cfRule type="containsText" dxfId="5" priority="2" operator="containsText" text="Y">
      <formula>NOT(ISERROR(SEARCH("Y",I2)))</formula>
    </cfRule>
  </conditionalFormatting>
  <dataValidations count="2">
    <dataValidation type="list" allowBlank="1" showInputMessage="1" showErrorMessage="1" sqref="I2:I11" xr:uid="{F29ACD15-514A-45D6-ACB0-63FFEE761125}">
      <formula1>"Y,N"</formula1>
    </dataValidation>
    <dataValidation type="list" allowBlank="1" showInputMessage="1" showErrorMessage="1" sqref="J2:J11" xr:uid="{5D0F1933-2489-43B0-B49D-2266A04C6149}">
      <formula1>"New,Building,Trusted,Veteran"</formula1>
    </dataValidation>
  </dataValidations>
  <hyperlinks>
    <hyperlink ref="D2" r:id="rId1" tooltip="https://www.reddit.com/r/Tinder/" xr:uid="{00000000-0004-0000-0000-000000000000}"/>
    <hyperlink ref="D3" r:id="rId2" tooltip="https://www.reddit.com/r/dating/" xr:uid="{00000000-0004-0000-0000-000001000000}"/>
    <hyperlink ref="D4" r:id="rId3" tooltip="https://www.reddit.com/r/OnlineDating/" xr:uid="{00000000-0004-0000-0000-000002000000}"/>
    <hyperlink ref="D5" r:id="rId4" tooltip="https://www.reddit.com/r/r4r/" xr:uid="{00000000-0004-0000-0000-000003000000}"/>
    <hyperlink ref="D6" r:id="rId5" tooltip="https://www.reddit.com/r/DatingApps/" xr:uid="{00000000-0004-0000-0000-000004000000}"/>
    <hyperlink ref="D7" r:id="rId6" tooltip="https://www.reddit.com/r/Singles/" xr:uid="{00000000-0004-0000-0000-000005000000}"/>
    <hyperlink ref="D8" r:id="rId7" tooltip="https://www.reddit.com/r/OkCupid/" xr:uid="{00000000-0004-0000-0000-000006000000}"/>
    <hyperlink ref="D9" r:id="rId8" tooltip="https://www.reddit.com/r/datingoverthirty/" xr:uid="{00000000-0004-0000-0000-000007000000}"/>
    <hyperlink ref="D10" r:id="rId9" tooltip="https://www.reddit.com/r/dating_advice/" xr:uid="{00000000-0004-0000-0000-000008000000}"/>
    <hyperlink ref="D11" r:id="rId10" tooltip="https://www.reddit.com/r/relationship_advice/" xr:uid="{00000000-0004-0000-0000-000009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8738569-0A12-4BD1-B0D5-C6F2F7ACF573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G2:G11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3858-C2BD-2A34-D6A6-0CA3584F4A18}">
  <dimension ref="A1:H11"/>
  <sheetViews>
    <sheetView workbookViewId="0">
      <pane ySplit="1" topLeftCell="A2" activePane="bottomLeft" state="frozen"/>
      <selection pane="bottomLeft" activeCell="H11" sqref="H11"/>
    </sheetView>
  </sheetViews>
  <sheetFormatPr defaultColWidth="8.85546875" defaultRowHeight="15" customHeight="1"/>
  <cols>
    <col min="1" max="1" width="19.85546875" bestFit="1" customWidth="1"/>
    <col min="2" max="2" width="9.7109375" customWidth="1"/>
    <col min="3" max="3" width="55.28515625" bestFit="1" customWidth="1"/>
    <col min="4" max="4" width="32.5703125" bestFit="1" customWidth="1"/>
    <col min="5" max="7" width="12.85546875" bestFit="1" customWidth="1"/>
    <col min="8" max="8" width="16.42578125" bestFit="1" customWidth="1"/>
  </cols>
  <sheetData>
    <row r="1" spans="1:8" ht="16.5" customHeight="1">
      <c r="A1" s="42" t="s">
        <v>57</v>
      </c>
      <c r="B1" s="42" t="s">
        <v>58</v>
      </c>
      <c r="C1" s="42" t="s">
        <v>3</v>
      </c>
      <c r="D1" s="42" t="s">
        <v>59</v>
      </c>
      <c r="E1" s="42" t="s">
        <v>60</v>
      </c>
      <c r="F1" s="79" t="s">
        <v>6</v>
      </c>
      <c r="G1" s="79" t="s">
        <v>8</v>
      </c>
      <c r="H1" s="79" t="s">
        <v>61</v>
      </c>
    </row>
    <row r="2" spans="1:8" ht="15" customHeight="1">
      <c r="A2" s="43" t="s">
        <v>62</v>
      </c>
      <c r="B2" s="43" t="s">
        <v>63</v>
      </c>
      <c r="C2" s="44" t="s">
        <v>64</v>
      </c>
      <c r="D2" s="43" t="s">
        <v>65</v>
      </c>
      <c r="E2" s="43" t="s">
        <v>14</v>
      </c>
      <c r="F2" s="80">
        <f>IF(E2="Very High",9,IF(E2="High",6,IF(E2="Medium-High",4,2)))</f>
        <v>9</v>
      </c>
      <c r="G2" s="80" t="s">
        <v>16</v>
      </c>
      <c r="H2" s="80" t="str">
        <f>IF(F2=9,"🔥 Daily",IF(F2&gt;=6,"⬆️ 5x/week",IF(F2&gt;=4,"➡️ 3x/week","⬇️ Weekly")))</f>
        <v>🔥 Daily</v>
      </c>
    </row>
    <row r="3" spans="1:8" ht="15" customHeight="1">
      <c r="A3" s="45" t="s">
        <v>66</v>
      </c>
      <c r="B3" s="45" t="s">
        <v>67</v>
      </c>
      <c r="C3" s="46" t="s">
        <v>64</v>
      </c>
      <c r="D3" s="45" t="s">
        <v>68</v>
      </c>
      <c r="E3" s="45" t="s">
        <v>14</v>
      </c>
      <c r="F3" s="80">
        <f>IF(E3="Very High",9,IF(E3="High",6,IF(E3="Medium-High",4,2)))</f>
        <v>9</v>
      </c>
      <c r="G3" s="80" t="s">
        <v>16</v>
      </c>
      <c r="H3" s="80" t="str">
        <f>IF(F3=9,"🔥 Daily",IF(F3&gt;=6,"⬆️ 5x/week",IF(F3&gt;=4,"➡️ 3x/week","⬇️ Weekly")))</f>
        <v>🔥 Daily</v>
      </c>
    </row>
    <row r="4" spans="1:8" ht="15" customHeight="1">
      <c r="A4" s="43" t="s">
        <v>69</v>
      </c>
      <c r="B4" s="43" t="s">
        <v>32</v>
      </c>
      <c r="C4" s="44" t="s">
        <v>70</v>
      </c>
      <c r="D4" s="43" t="s">
        <v>71</v>
      </c>
      <c r="E4" s="43" t="s">
        <v>21</v>
      </c>
      <c r="F4" s="80">
        <f>IF(E4="Very High",9,IF(E4="High",6,IF(E4="Medium-High",4,2)))</f>
        <v>6</v>
      </c>
      <c r="G4" s="80" t="s">
        <v>16</v>
      </c>
      <c r="H4" s="80" t="str">
        <f>IF(F4=9,"🔥 Daily",IF(F4&gt;=6,"⬆️ 5x/week",IF(F4&gt;=4,"➡️ 3x/week","⬇️ Weekly")))</f>
        <v>⬆️ 5x/week</v>
      </c>
    </row>
    <row r="5" spans="1:8" ht="15" customHeight="1">
      <c r="A5" s="45" t="s">
        <v>72</v>
      </c>
      <c r="B5" s="45" t="s">
        <v>73</v>
      </c>
      <c r="C5" s="46" t="s">
        <v>74</v>
      </c>
      <c r="D5" s="45" t="s">
        <v>75</v>
      </c>
      <c r="E5" s="45" t="s">
        <v>21</v>
      </c>
      <c r="F5" s="80">
        <f>IF(E5="Very High",9,IF(E5="High",6,IF(E5="Medium-High",4,2)))</f>
        <v>6</v>
      </c>
      <c r="G5" s="80" t="s">
        <v>16</v>
      </c>
      <c r="H5" s="80" t="str">
        <f>IF(F5=9,"🔥 Daily",IF(F5&gt;=6,"⬆️ 5x/week",IF(F5&gt;=4,"➡️ 3x/week","⬇️ Weekly")))</f>
        <v>⬆️ 5x/week</v>
      </c>
    </row>
    <row r="6" spans="1:8" ht="15" customHeight="1">
      <c r="A6" s="43" t="s">
        <v>76</v>
      </c>
      <c r="B6" s="43" t="s">
        <v>77</v>
      </c>
      <c r="C6" s="44" t="s">
        <v>78</v>
      </c>
      <c r="D6" s="43" t="s">
        <v>79</v>
      </c>
      <c r="E6" s="43" t="s">
        <v>21</v>
      </c>
      <c r="F6" s="80">
        <f>IF(E6="Very High",9,IF(E6="High",6,IF(E6="Medium-High",4,2)))</f>
        <v>6</v>
      </c>
      <c r="G6" s="80" t="s">
        <v>16</v>
      </c>
      <c r="H6" s="80" t="str">
        <f>IF(F6=9,"🔥 Daily",IF(F6&gt;=6,"⬆️ 5x/week",IF(F6&gt;=4,"➡️ 3x/week","⬇️ Weekly")))</f>
        <v>⬆️ 5x/week</v>
      </c>
    </row>
    <row r="7" spans="1:8" ht="15" customHeight="1">
      <c r="A7" s="45" t="s">
        <v>80</v>
      </c>
      <c r="B7" s="45" t="s">
        <v>46</v>
      </c>
      <c r="C7" s="46" t="s">
        <v>78</v>
      </c>
      <c r="D7" s="45" t="s">
        <v>81</v>
      </c>
      <c r="E7" s="45" t="s">
        <v>21</v>
      </c>
      <c r="F7" s="80">
        <f>IF(E7="Very High",9,IF(E7="High",6,IF(E7="Medium-High",4,2)))</f>
        <v>6</v>
      </c>
      <c r="G7" s="80" t="s">
        <v>16</v>
      </c>
      <c r="H7" s="80" t="str">
        <f>IF(F7=9,"🔥 Daily",IF(F7&gt;=6,"⬆️ 5x/week",IF(F7&gt;=4,"➡️ 3x/week","⬇️ Weekly")))</f>
        <v>⬆️ 5x/week</v>
      </c>
    </row>
    <row r="8" spans="1:8" ht="15" customHeight="1">
      <c r="A8" s="43" t="s">
        <v>82</v>
      </c>
      <c r="B8" s="43" t="s">
        <v>32</v>
      </c>
      <c r="C8" s="44" t="s">
        <v>78</v>
      </c>
      <c r="D8" s="43" t="s">
        <v>83</v>
      </c>
      <c r="E8" s="43" t="s">
        <v>34</v>
      </c>
      <c r="F8" s="80">
        <f>IF(E8="Very High",9,IF(E8="High",6,IF(E8="Medium-High",4,2)))</f>
        <v>4</v>
      </c>
      <c r="G8" s="80" t="s">
        <v>16</v>
      </c>
      <c r="H8" s="80" t="str">
        <f>IF(F8=9,"🔥 Daily",IF(F8&gt;=6,"⬆️ 5x/week",IF(F8&gt;=4,"➡️ 3x/week","⬇️ Weekly")))</f>
        <v>➡️ 3x/week</v>
      </c>
    </row>
    <row r="9" spans="1:8" ht="15" customHeight="1">
      <c r="A9" s="45" t="s">
        <v>84</v>
      </c>
      <c r="B9" s="45" t="s">
        <v>37</v>
      </c>
      <c r="C9" s="46" t="s">
        <v>78</v>
      </c>
      <c r="D9" s="45" t="s">
        <v>85</v>
      </c>
      <c r="E9" s="45" t="s">
        <v>39</v>
      </c>
      <c r="F9" s="80">
        <f>IF(E9="Very High",9,IF(E9="High",6,IF(E9="Medium-High",4,2)))</f>
        <v>2</v>
      </c>
      <c r="G9" s="80" t="s">
        <v>16</v>
      </c>
      <c r="H9" s="80" t="str">
        <f>IF(F9=9,"🔥 Daily",IF(F9&gt;=6,"⬆️ 5x/week",IF(F9&gt;=4,"➡️ 3x/week","⬇️ Weekly")))</f>
        <v>⬇️ Weekly</v>
      </c>
    </row>
    <row r="10" spans="1:8" ht="15" customHeight="1">
      <c r="A10" s="43" t="s">
        <v>86</v>
      </c>
      <c r="B10" s="43" t="s">
        <v>87</v>
      </c>
      <c r="C10" s="44" t="s">
        <v>78</v>
      </c>
      <c r="D10" s="43" t="s">
        <v>88</v>
      </c>
      <c r="E10" s="43" t="s">
        <v>39</v>
      </c>
      <c r="F10" s="80">
        <f>IF(E10="Very High",9,IF(E10="High",6,IF(E10="Medium-High",4,2)))</f>
        <v>2</v>
      </c>
      <c r="G10" s="80" t="s">
        <v>16</v>
      </c>
      <c r="H10" s="80" t="str">
        <f>IF(F10=9,"🔥 Daily",IF(F10&gt;=6,"⬆️ 5x/week",IF(F10&gt;=4,"➡️ 3x/week","⬇️ Weekly")))</f>
        <v>⬇️ Weekly</v>
      </c>
    </row>
    <row r="11" spans="1:8" ht="15" customHeight="1">
      <c r="A11" s="45" t="s">
        <v>89</v>
      </c>
      <c r="B11" s="45" t="s">
        <v>37</v>
      </c>
      <c r="C11" s="46" t="s">
        <v>90</v>
      </c>
      <c r="D11" s="45" t="s">
        <v>91</v>
      </c>
      <c r="E11" s="45" t="s">
        <v>21</v>
      </c>
      <c r="F11" s="80">
        <f>IF(E11="Very High",9,IF(E11="High",6,IF(E11="Medium-High",4,2)))</f>
        <v>6</v>
      </c>
      <c r="G11" s="80" t="s">
        <v>16</v>
      </c>
      <c r="H11" s="80" t="str">
        <f>IF(F11=9,"🔥 Daily",IF(F11&gt;=6,"⬆️ 5x/week",IF(F11&gt;=4,"➡️ 3x/week","⬇️ Weekly")))</f>
        <v>⬆️ 5x/week</v>
      </c>
    </row>
  </sheetData>
  <conditionalFormatting sqref="G2:G11">
    <cfRule type="containsText" dxfId="4" priority="1" operator="containsText" text="Y">
      <formula>NOT(ISERROR(SEARCH("Y",G2)))</formula>
    </cfRule>
  </conditionalFormatting>
  <conditionalFormatting sqref="F2:F1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{ECFBFF40-BFAB-4294-B906-C66ECE3BD561}</x14:id>
        </ext>
      </extLst>
    </cfRule>
  </conditionalFormatting>
  <dataValidations count="1">
    <dataValidation type="list" allowBlank="1" showInputMessage="1" showErrorMessage="1" sqref="G2:G11" xr:uid="{70B8B1AE-65ED-4991-948E-E4B74BA2B407}">
      <formula1>"Y,N"</formula1>
    </dataValidation>
  </dataValidations>
  <hyperlinks>
    <hyperlink ref="C2" r:id="rId1" tooltip="https://disboard.org/servers/tag/dating?sort=-member_count" xr:uid="{00000000-0004-0000-0100-000000000000}"/>
    <hyperlink ref="C3" r:id="rId2" tooltip="https://disboard.org/servers/tag/dating?sort=-member_count" xr:uid="{00000000-0004-0000-0100-000001000000}"/>
    <hyperlink ref="C4" r:id="rId3" tooltip="https://discord.gg/edatings" xr:uid="{00000000-0004-0000-0100-000002000000}"/>
    <hyperlink ref="C5" r:id="rId4" tooltip="https://discord.gg/bait" xr:uid="{00000000-0004-0000-0100-000003000000}"/>
    <hyperlink ref="C6" r:id="rId5" tooltip="https://disboard.org/servers/tag/dating" xr:uid="{00000000-0004-0000-0100-000004000000}"/>
    <hyperlink ref="C7" r:id="rId6" tooltip="https://disboard.org/servers/tag/dating" xr:uid="{00000000-0004-0000-0100-000005000000}"/>
    <hyperlink ref="C8" r:id="rId7" tooltip="https://disboard.org/servers/tag/dating" xr:uid="{00000000-0004-0000-0100-000006000000}"/>
    <hyperlink ref="C9" r:id="rId8" tooltip="https://disboard.org/servers/tag/dating" xr:uid="{00000000-0004-0000-0100-000007000000}"/>
    <hyperlink ref="C10" r:id="rId9" tooltip="https://disboard.org/servers/tag/dating" xr:uid="{00000000-0004-0000-0100-000008000000}"/>
    <hyperlink ref="C11" r:id="rId10" tooltip="https://thehiveindex.com/topics/dating/" xr:uid="{00000000-0004-0000-0100-000009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FBFF40-BFAB-4294-B906-C66ECE3BD561}">
            <x14:dataBar minLength="0" maxLength="100" direction="leftToRight" negativeBarColorSameAsPositive="1" axisPosition="none">
              <x14:cfvo type="min"/>
              <x14:cfvo type="max"/>
            </x14:dataBar>
          </x14:cfRule>
          <xm:sqref>F2:F11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C51F8-092B-89B2-9288-83BC4B9A949C}">
  <dimension ref="A1:E15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9.140625" customWidth="1"/>
    <col min="2" max="2" width="17.5703125" customWidth="1"/>
    <col min="3" max="3" width="14" customWidth="1"/>
    <col min="4" max="4" width="54.42578125" customWidth="1"/>
    <col min="5" max="5" width="23.7109375" customWidth="1"/>
  </cols>
  <sheetData>
    <row r="1" spans="1:5" ht="16.5" customHeight="1">
      <c r="A1" s="42" t="s">
        <v>0</v>
      </c>
      <c r="B1" s="42" t="s">
        <v>92</v>
      </c>
      <c r="C1" s="42" t="s">
        <v>93</v>
      </c>
      <c r="D1" s="42" t="s">
        <v>3</v>
      </c>
      <c r="E1" s="42" t="s">
        <v>94</v>
      </c>
    </row>
    <row r="2" spans="1:5" ht="15" customHeight="1">
      <c r="A2" s="43" t="s">
        <v>95</v>
      </c>
      <c r="B2" s="43" t="s">
        <v>96</v>
      </c>
      <c r="C2" s="43" t="s">
        <v>97</v>
      </c>
      <c r="D2" s="44" t="s">
        <v>98</v>
      </c>
      <c r="E2" s="43" t="s">
        <v>99</v>
      </c>
    </row>
    <row r="3" spans="1:5" ht="15" customHeight="1">
      <c r="A3" s="45" t="s">
        <v>95</v>
      </c>
      <c r="B3" s="45" t="s">
        <v>100</v>
      </c>
      <c r="C3" s="45" t="s">
        <v>101</v>
      </c>
      <c r="D3" s="46" t="s">
        <v>102</v>
      </c>
      <c r="E3" s="45" t="s">
        <v>103</v>
      </c>
    </row>
    <row r="4" spans="1:5" ht="15" customHeight="1">
      <c r="A4" s="43" t="s">
        <v>95</v>
      </c>
      <c r="B4" s="43" t="s">
        <v>104</v>
      </c>
      <c r="C4" s="43" t="s">
        <v>105</v>
      </c>
      <c r="D4" s="44" t="s">
        <v>106</v>
      </c>
      <c r="E4" s="43" t="s">
        <v>107</v>
      </c>
    </row>
    <row r="5" spans="1:5" ht="15" customHeight="1">
      <c r="A5" s="45" t="s">
        <v>95</v>
      </c>
      <c r="B5" s="45" t="s">
        <v>108</v>
      </c>
      <c r="C5" s="45" t="s">
        <v>109</v>
      </c>
      <c r="D5" s="46" t="s">
        <v>110</v>
      </c>
      <c r="E5" s="45" t="s">
        <v>111</v>
      </c>
    </row>
    <row r="6" spans="1:5" ht="15" customHeight="1">
      <c r="A6" s="43" t="s">
        <v>95</v>
      </c>
      <c r="B6" s="43" t="s">
        <v>112</v>
      </c>
      <c r="C6" s="43" t="s">
        <v>113</v>
      </c>
      <c r="D6" s="44" t="s">
        <v>114</v>
      </c>
      <c r="E6" s="43" t="s">
        <v>115</v>
      </c>
    </row>
    <row r="7" spans="1:5" ht="15" customHeight="1">
      <c r="A7" s="45" t="s">
        <v>116</v>
      </c>
      <c r="B7" s="45" t="s">
        <v>96</v>
      </c>
      <c r="C7" s="45" t="s">
        <v>117</v>
      </c>
      <c r="D7" s="46" t="s">
        <v>118</v>
      </c>
      <c r="E7" s="45" t="s">
        <v>119</v>
      </c>
    </row>
    <row r="8" spans="1:5" ht="15" customHeight="1">
      <c r="A8" s="43" t="s">
        <v>116</v>
      </c>
      <c r="B8" s="43" t="s">
        <v>120</v>
      </c>
      <c r="C8" s="43" t="s">
        <v>121</v>
      </c>
      <c r="D8" s="44" t="s">
        <v>122</v>
      </c>
      <c r="E8" s="43" t="s">
        <v>123</v>
      </c>
    </row>
    <row r="9" spans="1:5" ht="15" customHeight="1">
      <c r="A9" s="45" t="s">
        <v>124</v>
      </c>
      <c r="B9" s="45" t="s">
        <v>96</v>
      </c>
      <c r="C9" s="45" t="s">
        <v>125</v>
      </c>
      <c r="D9" s="46" t="s">
        <v>126</v>
      </c>
      <c r="E9" s="45" t="s">
        <v>127</v>
      </c>
    </row>
    <row r="10" spans="1:5" ht="15" customHeight="1">
      <c r="A10" s="43" t="s">
        <v>124</v>
      </c>
      <c r="B10" s="43" t="s">
        <v>104</v>
      </c>
      <c r="C10" s="43" t="s">
        <v>128</v>
      </c>
      <c r="D10" s="44" t="s">
        <v>129</v>
      </c>
      <c r="E10" s="43" t="s">
        <v>130</v>
      </c>
    </row>
    <row r="11" spans="1:5" ht="15" customHeight="1">
      <c r="A11" s="45" t="s">
        <v>124</v>
      </c>
      <c r="B11" s="45" t="s">
        <v>131</v>
      </c>
      <c r="C11" s="45" t="s">
        <v>132</v>
      </c>
      <c r="D11" s="46" t="s">
        <v>133</v>
      </c>
      <c r="E11" s="45" t="s">
        <v>134</v>
      </c>
    </row>
    <row r="12" spans="1:5" ht="15" customHeight="1">
      <c r="A12" s="43" t="s">
        <v>124</v>
      </c>
      <c r="B12" s="43" t="s">
        <v>135</v>
      </c>
      <c r="C12" s="43" t="s">
        <v>136</v>
      </c>
      <c r="D12" s="44" t="s">
        <v>137</v>
      </c>
      <c r="E12" s="43" t="s">
        <v>138</v>
      </c>
    </row>
    <row r="13" spans="1:5" ht="15" customHeight="1">
      <c r="A13" s="45" t="s">
        <v>139</v>
      </c>
      <c r="B13" s="45" t="s">
        <v>100</v>
      </c>
      <c r="C13" s="45" t="s">
        <v>140</v>
      </c>
      <c r="D13" s="46" t="s">
        <v>141</v>
      </c>
      <c r="E13" s="45" t="s">
        <v>142</v>
      </c>
    </row>
    <row r="14" spans="1:5" ht="15" customHeight="1">
      <c r="A14" s="43" t="s">
        <v>139</v>
      </c>
      <c r="B14" s="43" t="s">
        <v>108</v>
      </c>
      <c r="C14" s="43" t="s">
        <v>143</v>
      </c>
      <c r="D14" s="44" t="s">
        <v>144</v>
      </c>
      <c r="E14" s="43" t="s">
        <v>145</v>
      </c>
    </row>
    <row r="15" spans="1:5" ht="15" customHeight="1">
      <c r="A15" s="45" t="s">
        <v>139</v>
      </c>
      <c r="B15" s="45" t="s">
        <v>146</v>
      </c>
      <c r="C15" s="45" t="s">
        <v>143</v>
      </c>
      <c r="D15" s="46" t="s">
        <v>147</v>
      </c>
      <c r="E15" s="45" t="s">
        <v>148</v>
      </c>
    </row>
  </sheetData>
  <hyperlinks>
    <hyperlink ref="D2" r:id="rId1" tooltip="https://www.tiktok.com/tag/dating" xr:uid="{00000000-0004-0000-0200-000000000000}"/>
    <hyperlink ref="D3" r:id="rId2" tooltip="https://www.tiktok.com/tag/datingadvice" xr:uid="{00000000-0004-0000-0200-000001000000}"/>
    <hyperlink ref="D4" r:id="rId3" tooltip="https://www.tiktok.com/tag/relationshipgoals" xr:uid="{00000000-0004-0000-0200-000002000000}"/>
    <hyperlink ref="D5" r:id="rId4" tooltip="https://www.tiktok.com/tag/onlinedating" xr:uid="{00000000-0004-0000-0200-000003000000}"/>
    <hyperlink ref="D6" r:id="rId5" tooltip="https://www.tiktok.com/tag/datingapps" xr:uid="{00000000-0004-0000-0200-000004000000}"/>
    <hyperlink ref="D7" r:id="rId6" tooltip="https://www.threads.com/tag/dating" xr:uid="{00000000-0004-0000-0200-000005000000}"/>
    <hyperlink ref="D8" r:id="rId7" tooltip="https://www.threads.com/@thepureapp" xr:uid="{00000000-0004-0000-0200-000006000000}"/>
    <hyperlink ref="D9" r:id="rId8" tooltip="https://www.instagram.com/explore/tags/dating/" xr:uid="{00000000-0004-0000-0200-000007000000}"/>
    <hyperlink ref="D10" r:id="rId9" tooltip="https://www.instagram.com/explore/tags/relationshipgoals/" xr:uid="{00000000-0004-0000-0200-000008000000}"/>
    <hyperlink ref="D11" r:id="rId10" tooltip="https://www.instagram.com/explore/tags/love/" xr:uid="{00000000-0004-0000-0200-000009000000}"/>
    <hyperlink ref="D12" r:id="rId11" tooltip="https://www.instagram.com/explore/tags/singlelife/" xr:uid="{00000000-0004-0000-0200-00000A000000}"/>
    <hyperlink ref="D13" r:id="rId12" tooltip="https://x.com/hashtag/datingadvice" xr:uid="{00000000-0004-0000-0200-00000B000000}"/>
    <hyperlink ref="D14" r:id="rId13" tooltip="https://x.com/hashtag/onlinedating" xr:uid="{00000000-0004-0000-0200-00000C000000}"/>
    <hyperlink ref="D15" r:id="rId14" tooltip="https://x.com/hashtagdatinghq" xr:uid="{00000000-0004-0000-0200-00000D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BA848-E618-7734-4228-271FA8D62C77}">
  <dimension ref="A1:F11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14.28515625" customWidth="1"/>
    <col min="2" max="2" width="15.42578125" customWidth="1"/>
    <col min="3" max="3" width="12" customWidth="1"/>
    <col min="4" max="4" width="40.28515625" customWidth="1"/>
    <col min="5" max="5" width="13.7109375" customWidth="1"/>
    <col min="6" max="6" width="30.28515625" customWidth="1"/>
  </cols>
  <sheetData>
    <row r="1" spans="1:6" ht="16.5" customHeight="1">
      <c r="A1" s="42" t="s">
        <v>0</v>
      </c>
      <c r="B1" s="42" t="s">
        <v>149</v>
      </c>
      <c r="C1" s="42" t="s">
        <v>150</v>
      </c>
      <c r="D1" s="42" t="s">
        <v>3</v>
      </c>
      <c r="E1" s="42" t="s">
        <v>151</v>
      </c>
      <c r="F1" s="42" t="s">
        <v>152</v>
      </c>
    </row>
    <row r="2" spans="1:6" ht="15" customHeight="1">
      <c r="A2" s="43" t="s">
        <v>153</v>
      </c>
      <c r="B2" s="43" t="s">
        <v>154</v>
      </c>
      <c r="C2" s="43" t="s">
        <v>155</v>
      </c>
      <c r="D2" s="44" t="s">
        <v>156</v>
      </c>
      <c r="E2" s="43" t="s">
        <v>157</v>
      </c>
      <c r="F2" s="43" t="s">
        <v>158</v>
      </c>
    </row>
    <row r="3" spans="1:6" ht="15" customHeight="1">
      <c r="A3" s="45" t="s">
        <v>159</v>
      </c>
      <c r="B3" s="45" t="s">
        <v>160</v>
      </c>
      <c r="C3" s="45" t="s">
        <v>161</v>
      </c>
      <c r="D3" s="46" t="s">
        <v>162</v>
      </c>
      <c r="E3" s="45" t="s">
        <v>163</v>
      </c>
      <c r="F3" s="45" t="s">
        <v>164</v>
      </c>
    </row>
    <row r="4" spans="1:6" ht="15" customHeight="1">
      <c r="A4" s="43" t="s">
        <v>165</v>
      </c>
      <c r="B4" s="43" t="s">
        <v>160</v>
      </c>
      <c r="C4" s="43" t="s">
        <v>155</v>
      </c>
      <c r="D4" s="44" t="s">
        <v>166</v>
      </c>
      <c r="E4" s="43" t="s">
        <v>167</v>
      </c>
      <c r="F4" s="43" t="s">
        <v>168</v>
      </c>
    </row>
    <row r="5" spans="1:6" ht="15" customHeight="1">
      <c r="A5" s="45" t="s">
        <v>169</v>
      </c>
      <c r="B5" s="45" t="s">
        <v>170</v>
      </c>
      <c r="C5" s="45" t="s">
        <v>155</v>
      </c>
      <c r="D5" s="46" t="s">
        <v>171</v>
      </c>
      <c r="E5" s="45" t="s">
        <v>172</v>
      </c>
      <c r="F5" s="45" t="s">
        <v>173</v>
      </c>
    </row>
    <row r="6" spans="1:6" ht="15" customHeight="1">
      <c r="A6" s="43" t="s">
        <v>174</v>
      </c>
      <c r="B6" s="43" t="s">
        <v>175</v>
      </c>
      <c r="C6" s="43" t="s">
        <v>155</v>
      </c>
      <c r="D6" s="44" t="s">
        <v>176</v>
      </c>
      <c r="E6" s="43" t="s">
        <v>163</v>
      </c>
      <c r="F6" s="43" t="s">
        <v>177</v>
      </c>
    </row>
    <row r="7" spans="1:6" ht="15" customHeight="1">
      <c r="A7" s="45" t="s">
        <v>178</v>
      </c>
      <c r="B7" s="45" t="s">
        <v>179</v>
      </c>
      <c r="C7" s="45" t="s">
        <v>155</v>
      </c>
      <c r="D7" s="46" t="s">
        <v>180</v>
      </c>
      <c r="E7" s="45" t="s">
        <v>181</v>
      </c>
      <c r="F7" s="45" t="s">
        <v>182</v>
      </c>
    </row>
    <row r="8" spans="1:6" ht="15" customHeight="1">
      <c r="A8" s="43" t="s">
        <v>183</v>
      </c>
      <c r="B8" s="43" t="s">
        <v>179</v>
      </c>
      <c r="C8" s="43" t="s">
        <v>184</v>
      </c>
      <c r="D8" s="44" t="s">
        <v>185</v>
      </c>
      <c r="E8" s="43" t="s">
        <v>186</v>
      </c>
      <c r="F8" s="43" t="s">
        <v>187</v>
      </c>
    </row>
    <row r="9" spans="1:6" ht="15" customHeight="1">
      <c r="A9" s="45" t="s">
        <v>188</v>
      </c>
      <c r="B9" s="45" t="s">
        <v>179</v>
      </c>
      <c r="C9" s="45" t="s">
        <v>155</v>
      </c>
      <c r="D9" s="46" t="s">
        <v>189</v>
      </c>
      <c r="E9" s="45" t="s">
        <v>167</v>
      </c>
      <c r="F9" s="45" t="s">
        <v>190</v>
      </c>
    </row>
    <row r="10" spans="1:6" ht="15" customHeight="1">
      <c r="A10" s="43" t="s">
        <v>191</v>
      </c>
      <c r="B10" s="43" t="s">
        <v>192</v>
      </c>
      <c r="C10" s="43" t="s">
        <v>155</v>
      </c>
      <c r="D10" s="44" t="s">
        <v>193</v>
      </c>
      <c r="E10" s="43" t="s">
        <v>194</v>
      </c>
      <c r="F10" s="43" t="s">
        <v>195</v>
      </c>
    </row>
    <row r="11" spans="1:6" ht="15" customHeight="1">
      <c r="A11" s="45" t="s">
        <v>196</v>
      </c>
      <c r="B11" s="45" t="s">
        <v>197</v>
      </c>
      <c r="C11" s="45" t="s">
        <v>155</v>
      </c>
      <c r="D11" s="46" t="s">
        <v>198</v>
      </c>
      <c r="E11" s="45" t="s">
        <v>199</v>
      </c>
      <c r="F11" s="45" t="s">
        <v>200</v>
      </c>
    </row>
  </sheetData>
  <hyperlinks>
    <hyperlink ref="D2" r:id="rId1" tooltip="https://www.producthunt.com/launch" xr:uid="{00000000-0004-0000-0300-000000000000}"/>
    <hyperlink ref="D3" r:id="rId2" tooltip="https://betalist.com/submit" xr:uid="{00000000-0004-0000-0300-000001000000}"/>
    <hyperlink ref="D4" r:id="rId3" tooltip="https://startupbase.io/" xr:uid="{00000000-0004-0000-0300-000002000000}"/>
    <hyperlink ref="D5" r:id="rId4" tooltip="https://news.ycombinator.com/showhn.html" xr:uid="{00000000-0004-0000-0300-000003000000}"/>
    <hyperlink ref="D6" r:id="rId5" tooltip="https://www.indiehackers.com/" xr:uid="{00000000-0004-0000-0300-000004000000}"/>
    <hyperlink ref="D7" r:id="rId6" tooltip="https://microlaunch.net/" xr:uid="{00000000-0004-0000-0300-000005000000}"/>
    <hyperlink ref="D8" r:id="rId7" tooltip="https://killerstartups.com/" xr:uid="{00000000-0004-0000-0300-000006000000}"/>
    <hyperlink ref="D9" r:id="rId8" tooltip="https://www.startupranking.com/" xr:uid="{00000000-0004-0000-0300-000007000000}"/>
    <hyperlink ref="D10" r:id="rId9" tooltip="https://alternativeto.net/" xr:uid="{00000000-0004-0000-0300-000008000000}"/>
    <hyperlink ref="D11" r:id="rId10" tooltip="https://www.saashub.com/" xr:uid="{00000000-0004-0000-0300-000009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E6721-2079-44D8-9E13-C2E60A6155F2}">
  <dimension ref="A1:L26"/>
  <sheetViews>
    <sheetView workbookViewId="0"/>
  </sheetViews>
  <sheetFormatPr defaultRowHeight="15"/>
  <cols>
    <col min="1" max="1" width="78.28515625" bestFit="1" customWidth="1"/>
    <col min="2" max="2" width="40.42578125" bestFit="1" customWidth="1"/>
    <col min="3" max="3" width="12" bestFit="1" customWidth="1"/>
    <col min="4" max="4" width="13.7109375" bestFit="1" customWidth="1"/>
    <col min="5" max="5" width="16.42578125" bestFit="1" customWidth="1"/>
    <col min="6" max="6" width="14.85546875" bestFit="1" customWidth="1"/>
    <col min="7" max="7" width="17.140625" bestFit="1" customWidth="1"/>
    <col min="8" max="8" width="17" bestFit="1" customWidth="1"/>
    <col min="9" max="9" width="10.5703125" bestFit="1" customWidth="1"/>
    <col min="10" max="10" width="15.5703125" bestFit="1" customWidth="1"/>
    <col min="11" max="11" width="17.7109375" bestFit="1" customWidth="1"/>
    <col min="12" max="12" width="6.140625" bestFit="1" customWidth="1"/>
  </cols>
  <sheetData>
    <row r="1" spans="1:12" ht="21">
      <c r="A1" s="61" t="s">
        <v>201</v>
      </c>
    </row>
    <row r="2" spans="1:12">
      <c r="A2" s="62" t="s">
        <v>202</v>
      </c>
    </row>
    <row r="4" spans="1:12">
      <c r="A4" s="55" t="s">
        <v>0</v>
      </c>
      <c r="B4" s="55" t="s">
        <v>3</v>
      </c>
      <c r="C4" s="55" t="s">
        <v>150</v>
      </c>
      <c r="D4" s="55" t="s">
        <v>203</v>
      </c>
      <c r="E4" s="55" t="s">
        <v>204</v>
      </c>
      <c r="F4" s="55" t="s">
        <v>205</v>
      </c>
      <c r="G4" s="55" t="s">
        <v>206</v>
      </c>
      <c r="H4" s="55" t="s">
        <v>207</v>
      </c>
      <c r="I4" s="55" t="s">
        <v>208</v>
      </c>
      <c r="J4" s="55" t="s">
        <v>209</v>
      </c>
      <c r="K4" s="55" t="s">
        <v>210</v>
      </c>
      <c r="L4" s="55" t="s">
        <v>152</v>
      </c>
    </row>
    <row r="5" spans="1:12">
      <c r="A5" s="63" t="s">
        <v>153</v>
      </c>
      <c r="B5" t="s">
        <v>156</v>
      </c>
      <c r="C5" t="s">
        <v>155</v>
      </c>
      <c r="D5" t="s">
        <v>157</v>
      </c>
      <c r="E5" t="s">
        <v>16</v>
      </c>
      <c r="F5" s="66"/>
      <c r="G5" s="80" t="str">
        <f ca="1">IF(E5="Y",IF(F5="","No Date",TODAY()-F5),"-")</f>
        <v>-</v>
      </c>
      <c r="H5" s="80" t="str">
        <f>IF(I5="Y","✅ Live",IF(E5="Y",IF(ISNUMBER(G5),IF(G5&gt;14,"🔄 Follow Up!","⏳ Pending"),"⏳ Pending"),"📋 Not Submitted"))</f>
        <v>📋 Not Submitted</v>
      </c>
      <c r="I5" s="80" t="s">
        <v>16</v>
      </c>
      <c r="J5" s="80">
        <v>0</v>
      </c>
      <c r="K5" s="80">
        <v>0</v>
      </c>
    </row>
    <row r="6" spans="1:12">
      <c r="A6" t="s">
        <v>159</v>
      </c>
      <c r="B6" t="s">
        <v>162</v>
      </c>
      <c r="C6" t="s">
        <v>161</v>
      </c>
      <c r="D6" t="s">
        <v>163</v>
      </c>
      <c r="E6" t="s">
        <v>16</v>
      </c>
      <c r="F6" s="66"/>
      <c r="G6" s="80" t="str">
        <f ca="1">IF(E6="Y",IF(F6="","No Date",TODAY()-F6),"-")</f>
        <v>-</v>
      </c>
      <c r="H6" s="80" t="str">
        <f>IF(I6="Y","✅ Live",IF(E6="Y",IF(ISNUMBER(G6),IF(G6&gt;14,"🔄 Follow Up!","⏳ Pending"),"⏳ Pending"),"📋 Not Submitted"))</f>
        <v>📋 Not Submitted</v>
      </c>
      <c r="I6" s="80" t="s">
        <v>16</v>
      </c>
      <c r="J6" s="80">
        <v>0</v>
      </c>
      <c r="K6" s="80">
        <v>0</v>
      </c>
    </row>
    <row r="7" spans="1:12">
      <c r="A7" t="s">
        <v>165</v>
      </c>
      <c r="B7" t="s">
        <v>166</v>
      </c>
      <c r="C7" t="s">
        <v>155</v>
      </c>
      <c r="D7" t="s">
        <v>167</v>
      </c>
      <c r="E7" t="s">
        <v>16</v>
      </c>
      <c r="F7" s="66"/>
      <c r="G7" s="80" t="str">
        <f ca="1">IF(E7="Y",IF(F7="","No Date",TODAY()-F7),"-")</f>
        <v>-</v>
      </c>
      <c r="H7" s="80" t="str">
        <f>IF(I7="Y","✅ Live",IF(E7="Y",IF(ISNUMBER(G7),IF(G7&gt;14,"🔄 Follow Up!","⏳ Pending"),"⏳ Pending"),"📋 Not Submitted"))</f>
        <v>📋 Not Submitted</v>
      </c>
      <c r="I7" s="80" t="s">
        <v>16</v>
      </c>
      <c r="J7" s="80">
        <v>0</v>
      </c>
      <c r="K7" s="80">
        <v>0</v>
      </c>
    </row>
    <row r="8" spans="1:12">
      <c r="A8" t="s">
        <v>211</v>
      </c>
      <c r="B8" t="s">
        <v>171</v>
      </c>
      <c r="C8" t="s">
        <v>155</v>
      </c>
      <c r="D8" t="s">
        <v>172</v>
      </c>
      <c r="E8" t="s">
        <v>16</v>
      </c>
      <c r="F8" s="66"/>
      <c r="G8" s="80" t="str">
        <f ca="1">IF(E8="Y",IF(F8="","No Date",TODAY()-F8),"-")</f>
        <v>-</v>
      </c>
      <c r="H8" s="80" t="str">
        <f>IF(I8="Y","✅ Live",IF(E8="Y",IF(ISNUMBER(G8),IF(G8&gt;14,"🔄 Follow Up!","⏳ Pending"),"⏳ Pending"),"📋 Not Submitted"))</f>
        <v>📋 Not Submitted</v>
      </c>
      <c r="I8" s="80" t="s">
        <v>16</v>
      </c>
      <c r="J8" s="80">
        <v>0</v>
      </c>
      <c r="K8" s="80">
        <v>0</v>
      </c>
    </row>
    <row r="9" spans="1:12">
      <c r="A9" t="s">
        <v>174</v>
      </c>
      <c r="B9" t="s">
        <v>176</v>
      </c>
      <c r="C9" t="s">
        <v>155</v>
      </c>
      <c r="D9" t="s">
        <v>163</v>
      </c>
      <c r="E9" t="s">
        <v>16</v>
      </c>
      <c r="F9" s="66"/>
      <c r="G9" s="80" t="str">
        <f ca="1">IF(E9="Y",IF(F9="","No Date",TODAY()-F9),"-")</f>
        <v>-</v>
      </c>
      <c r="H9" s="80" t="str">
        <f>IF(I9="Y","✅ Live",IF(E9="Y",IF(ISNUMBER(G9),IF(G9&gt;14,"🔄 Follow Up!","⏳ Pending"),"⏳ Pending"),"📋 Not Submitted"))</f>
        <v>📋 Not Submitted</v>
      </c>
      <c r="I9" s="80" t="s">
        <v>16</v>
      </c>
      <c r="J9" s="80">
        <v>0</v>
      </c>
      <c r="K9" s="80">
        <v>0</v>
      </c>
    </row>
    <row r="10" spans="1:12">
      <c r="A10" t="s">
        <v>178</v>
      </c>
      <c r="B10" t="s">
        <v>180</v>
      </c>
      <c r="C10" t="s">
        <v>155</v>
      </c>
      <c r="D10" t="s">
        <v>181</v>
      </c>
      <c r="E10" t="s">
        <v>16</v>
      </c>
      <c r="F10" s="66"/>
      <c r="G10" s="80" t="str">
        <f ca="1">IF(E10="Y",IF(F10="","No Date",TODAY()-F10),"-")</f>
        <v>-</v>
      </c>
      <c r="H10" s="80" t="str">
        <f>IF(I10="Y","✅ Live",IF(E10="Y",IF(ISNUMBER(G10),IF(G10&gt;14,"🔄 Follow Up!","⏳ Pending"),"⏳ Pending"),"📋 Not Submitted"))</f>
        <v>📋 Not Submitted</v>
      </c>
      <c r="I10" s="80" t="s">
        <v>16</v>
      </c>
      <c r="J10" s="80">
        <v>0</v>
      </c>
      <c r="K10" s="80">
        <v>0</v>
      </c>
    </row>
    <row r="11" spans="1:12">
      <c r="A11" t="s">
        <v>183</v>
      </c>
      <c r="B11" t="s">
        <v>185</v>
      </c>
      <c r="C11" t="s">
        <v>184</v>
      </c>
      <c r="D11" t="s">
        <v>186</v>
      </c>
      <c r="E11" t="s">
        <v>16</v>
      </c>
      <c r="F11" s="66"/>
      <c r="G11" s="80" t="str">
        <f ca="1">IF(E11="Y",IF(F11="","No Date",TODAY()-F11),"-")</f>
        <v>-</v>
      </c>
      <c r="H11" s="80" t="str">
        <f>IF(I11="Y","✅ Live",IF(E11="Y",IF(ISNUMBER(G11),IF(G11&gt;14,"🔄 Follow Up!","⏳ Pending"),"⏳ Pending"),"📋 Not Submitted"))</f>
        <v>📋 Not Submitted</v>
      </c>
      <c r="I11" s="80" t="s">
        <v>16</v>
      </c>
      <c r="J11" s="80">
        <v>0</v>
      </c>
      <c r="K11" s="80">
        <v>0</v>
      </c>
    </row>
    <row r="12" spans="1:12">
      <c r="A12" t="s">
        <v>188</v>
      </c>
      <c r="B12" t="s">
        <v>189</v>
      </c>
      <c r="C12" t="s">
        <v>155</v>
      </c>
      <c r="D12" t="s">
        <v>167</v>
      </c>
      <c r="E12" t="s">
        <v>16</v>
      </c>
      <c r="F12" s="66"/>
      <c r="G12" s="80" t="str">
        <f ca="1">IF(E12="Y",IF(F12="","No Date",TODAY()-F12),"-")</f>
        <v>-</v>
      </c>
      <c r="H12" s="80" t="str">
        <f>IF(I12="Y","✅ Live",IF(E12="Y",IF(ISNUMBER(G12),IF(G12&gt;14,"🔄 Follow Up!","⏳ Pending"),"⏳ Pending"),"📋 Not Submitted"))</f>
        <v>📋 Not Submitted</v>
      </c>
      <c r="I12" s="80" t="s">
        <v>16</v>
      </c>
      <c r="J12" s="80">
        <v>0</v>
      </c>
      <c r="K12" s="80">
        <v>0</v>
      </c>
    </row>
    <row r="13" spans="1:12">
      <c r="A13" t="s">
        <v>191</v>
      </c>
      <c r="B13" t="s">
        <v>193</v>
      </c>
      <c r="C13" t="s">
        <v>155</v>
      </c>
      <c r="D13" t="s">
        <v>194</v>
      </c>
      <c r="E13" t="s">
        <v>16</v>
      </c>
      <c r="F13" s="66"/>
      <c r="G13" s="80" t="str">
        <f ca="1">IF(E13="Y",IF(F13="","No Date",TODAY()-F13),"-")</f>
        <v>-</v>
      </c>
      <c r="H13" s="80" t="str">
        <f>IF(I13="Y","✅ Live",IF(E13="Y",IF(ISNUMBER(G13),IF(G13&gt;14,"🔄 Follow Up!","⏳ Pending"),"⏳ Pending"),"📋 Not Submitted"))</f>
        <v>📋 Not Submitted</v>
      </c>
      <c r="I13" s="80" t="s">
        <v>16</v>
      </c>
      <c r="J13" s="80">
        <v>0</v>
      </c>
      <c r="K13" s="80">
        <v>0</v>
      </c>
    </row>
    <row r="14" spans="1:12">
      <c r="A14" t="s">
        <v>196</v>
      </c>
      <c r="B14" t="s">
        <v>198</v>
      </c>
      <c r="C14" t="s">
        <v>155</v>
      </c>
      <c r="D14" t="s">
        <v>199</v>
      </c>
      <c r="E14" t="s">
        <v>16</v>
      </c>
      <c r="F14" s="66"/>
      <c r="G14" s="80" t="str">
        <f ca="1">IF(E14="Y",IF(F14="","No Date",TODAY()-F14),"-")</f>
        <v>-</v>
      </c>
      <c r="H14" s="80" t="str">
        <f>IF(I14="Y","✅ Live",IF(E14="Y",IF(ISNUMBER(G14),IF(G14&gt;14,"🔄 Follow Up!","⏳ Pending"),"⏳ Pending"),"📋 Not Submitted"))</f>
        <v>📋 Not Submitted</v>
      </c>
      <c r="I14" s="80" t="s">
        <v>16</v>
      </c>
      <c r="J14" s="80">
        <v>0</v>
      </c>
      <c r="K14" s="80">
        <v>0</v>
      </c>
    </row>
    <row r="17" spans="1:3" ht="17.25">
      <c r="A17" s="64" t="s">
        <v>212</v>
      </c>
    </row>
    <row r="18" spans="1:3">
      <c r="A18" s="55" t="s">
        <v>213</v>
      </c>
      <c r="B18" s="55" t="s">
        <v>214</v>
      </c>
      <c r="C18" s="55" t="s">
        <v>215</v>
      </c>
    </row>
    <row r="19" spans="1:3">
      <c r="A19" t="s">
        <v>216</v>
      </c>
      <c r="B19">
        <f>COUNTA(A5:A14)</f>
        <v>10</v>
      </c>
      <c r="C19" s="65">
        <f>B19/B19</f>
        <v>1</v>
      </c>
    </row>
    <row r="20" spans="1:3">
      <c r="A20" t="s">
        <v>217</v>
      </c>
      <c r="B20">
        <f>COUNTIF(E5:E14,"Y")</f>
        <v>0</v>
      </c>
      <c r="C20" s="65">
        <f>IFERROR(B20/B19,0)</f>
        <v>0</v>
      </c>
    </row>
    <row r="21" spans="1:3">
      <c r="A21" t="s">
        <v>218</v>
      </c>
      <c r="B21">
        <f>COUNTIF(I5:I14,"Y")</f>
        <v>0</v>
      </c>
      <c r="C21" s="65">
        <f>IFERROR(B21/B19,0)</f>
        <v>0</v>
      </c>
    </row>
    <row r="22" spans="1:3">
      <c r="A22" t="s">
        <v>219</v>
      </c>
      <c r="B22">
        <f>COUNTIF(H5:H14,"⏳ Pending")</f>
        <v>0</v>
      </c>
      <c r="C22" s="65">
        <f>IFERROR(B22/B19,0)</f>
        <v>0</v>
      </c>
    </row>
    <row r="23" spans="1:3">
      <c r="A23" t="s">
        <v>220</v>
      </c>
      <c r="B23">
        <f>COUNTIF(H5:H14,"🔄 Follow Up!")</f>
        <v>0</v>
      </c>
      <c r="C23" s="65">
        <f>IFERROR(B23/B19,0)</f>
        <v>0</v>
      </c>
    </row>
    <row r="24" spans="1:3">
      <c r="A24" t="s">
        <v>221</v>
      </c>
      <c r="B24">
        <f>COUNTIF(E5:E14,"N")</f>
        <v>10</v>
      </c>
      <c r="C24" s="65">
        <f>IFERROR(B24/B19,0)</f>
        <v>1</v>
      </c>
    </row>
    <row r="25" spans="1:3">
      <c r="A25" t="s">
        <v>222</v>
      </c>
      <c r="B25">
        <f>SUM(J5:J14)</f>
        <v>0</v>
      </c>
    </row>
    <row r="26" spans="1:3">
      <c r="A26" t="s">
        <v>223</v>
      </c>
      <c r="B26">
        <f>SUM(K5:K14)</f>
        <v>0</v>
      </c>
    </row>
  </sheetData>
  <conditionalFormatting sqref="H5:H14">
    <cfRule type="containsText" dxfId="3" priority="1" operator="containsText" text="Live">
      <formula>NOT(ISERROR(SEARCH("Live",H5)))</formula>
    </cfRule>
  </conditionalFormatting>
  <conditionalFormatting sqref="H5:H14">
    <cfRule type="containsText" dxfId="2" priority="2" operator="containsText" text="Follow Up">
      <formula>NOT(ISERROR(SEARCH("Follow Up",H5)))</formula>
    </cfRule>
  </conditionalFormatting>
  <conditionalFormatting sqref="H5:H14">
    <cfRule type="containsText" dxfId="1" priority="3" operator="containsText" text="Pending">
      <formula>NOT(ISERROR(SEARCH("Pending",H5)))</formula>
    </cfRule>
  </conditionalFormatting>
  <dataValidations count="1">
    <dataValidation type="list" allowBlank="1" showInputMessage="1" showErrorMessage="1" sqref="E5:E14 I5:I14" xr:uid="{FF95E733-314E-45DE-B3FE-38B91E3E07CE}">
      <formula1>"Y,N"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B0203-ADE8-4BD6-981E-6F5F2D52C07C}">
  <dimension ref="A1:J44"/>
  <sheetViews>
    <sheetView workbookViewId="0"/>
  </sheetViews>
  <sheetFormatPr defaultRowHeight="15"/>
  <cols>
    <col min="1" max="1" width="83.7109375" bestFit="1" customWidth="1"/>
    <col min="2" max="2" width="11.42578125" bestFit="1" customWidth="1"/>
    <col min="3" max="3" width="12.140625" bestFit="1" customWidth="1"/>
    <col min="4" max="4" width="22.28515625" bestFit="1" customWidth="1"/>
    <col min="5" max="5" width="84.5703125" bestFit="1" customWidth="1"/>
    <col min="6" max="6" width="57.42578125" bestFit="1" customWidth="1"/>
    <col min="7" max="7" width="11.85546875" bestFit="1" customWidth="1"/>
    <col min="8" max="8" width="12.85546875" bestFit="1" customWidth="1"/>
    <col min="9" max="9" width="7.7109375" bestFit="1" customWidth="1"/>
    <col min="10" max="10" width="6.140625" bestFit="1" customWidth="1"/>
  </cols>
  <sheetData>
    <row r="1" spans="1:10" ht="21">
      <c r="A1" s="61" t="s">
        <v>224</v>
      </c>
    </row>
    <row r="2" spans="1:10">
      <c r="A2" s="62" t="s">
        <v>225</v>
      </c>
    </row>
    <row r="3" spans="1:10">
      <c r="A3" s="63" t="s">
        <v>226</v>
      </c>
      <c r="B3" s="67">
        <v>46125</v>
      </c>
    </row>
    <row r="5" spans="1:10">
      <c r="A5" s="56" t="s">
        <v>227</v>
      </c>
      <c r="B5" s="56" t="s">
        <v>228</v>
      </c>
      <c r="C5" s="56" t="s">
        <v>229</v>
      </c>
      <c r="D5" s="56" t="s">
        <v>0</v>
      </c>
      <c r="E5" s="55" t="s">
        <v>230</v>
      </c>
      <c r="F5" s="55" t="s">
        <v>231</v>
      </c>
      <c r="G5" s="56" t="s">
        <v>232</v>
      </c>
      <c r="H5" s="56" t="s">
        <v>233</v>
      </c>
      <c r="I5" s="56" t="s">
        <v>234</v>
      </c>
      <c r="J5" s="55" t="s">
        <v>152</v>
      </c>
    </row>
    <row r="6" spans="1:10">
      <c r="A6" s="80">
        <v>1</v>
      </c>
      <c r="B6" s="68">
        <f>$B$3</f>
        <v>46125</v>
      </c>
      <c r="C6" s="80" t="str">
        <f>TEXT(B6,"dddd")</f>
        <v>Monday</v>
      </c>
      <c r="D6" s="80" t="s">
        <v>10</v>
      </c>
      <c r="E6" t="s">
        <v>235</v>
      </c>
      <c r="F6" t="s">
        <v>236</v>
      </c>
      <c r="G6" s="80" t="s">
        <v>16</v>
      </c>
      <c r="H6" s="80">
        <v>0</v>
      </c>
      <c r="I6" s="80">
        <v>0</v>
      </c>
    </row>
    <row r="7" spans="1:10">
      <c r="A7" s="80">
        <v>2</v>
      </c>
      <c r="B7" s="68">
        <f>B6+1</f>
        <v>46126</v>
      </c>
      <c r="C7" s="80" t="str">
        <f>TEXT(B7,"dddd")</f>
        <v>Tuesday</v>
      </c>
      <c r="D7" s="80" t="s">
        <v>237</v>
      </c>
      <c r="E7" t="s">
        <v>238</v>
      </c>
      <c r="F7" t="s">
        <v>239</v>
      </c>
      <c r="G7" s="80" t="s">
        <v>16</v>
      </c>
      <c r="H7" s="80">
        <v>0</v>
      </c>
      <c r="I7" s="80">
        <v>0</v>
      </c>
    </row>
    <row r="8" spans="1:10">
      <c r="A8" s="80">
        <v>3</v>
      </c>
      <c r="B8" s="68">
        <f>B7+1</f>
        <v>46127</v>
      </c>
      <c r="C8" s="80" t="str">
        <f>TEXT(B8,"dddd")</f>
        <v>Wednesday</v>
      </c>
      <c r="D8" s="80" t="s">
        <v>240</v>
      </c>
      <c r="E8" t="s">
        <v>241</v>
      </c>
      <c r="F8" t="s">
        <v>242</v>
      </c>
      <c r="G8" s="80" t="s">
        <v>16</v>
      </c>
      <c r="H8" s="80">
        <v>0</v>
      </c>
      <c r="I8" s="80">
        <v>0</v>
      </c>
    </row>
    <row r="9" spans="1:10">
      <c r="A9" s="80">
        <v>4</v>
      </c>
      <c r="B9" s="68">
        <f>B8+1</f>
        <v>46128</v>
      </c>
      <c r="C9" s="80" t="str">
        <f>TEXT(B9,"dddd")</f>
        <v>Thursday</v>
      </c>
      <c r="D9" s="80" t="s">
        <v>10</v>
      </c>
      <c r="E9" t="s">
        <v>243</v>
      </c>
      <c r="F9" t="s">
        <v>244</v>
      </c>
      <c r="G9" s="80" t="s">
        <v>16</v>
      </c>
      <c r="H9" s="80">
        <v>0</v>
      </c>
      <c r="I9" s="80">
        <v>0</v>
      </c>
    </row>
    <row r="10" spans="1:10">
      <c r="A10" s="80">
        <v>5</v>
      </c>
      <c r="B10" s="68">
        <f>B9+1</f>
        <v>46129</v>
      </c>
      <c r="C10" s="80" t="str">
        <f>TEXT(B10,"dddd")</f>
        <v>Friday</v>
      </c>
      <c r="D10" s="80" t="s">
        <v>245</v>
      </c>
      <c r="E10" t="s">
        <v>246</v>
      </c>
      <c r="F10" t="s">
        <v>247</v>
      </c>
      <c r="G10" s="80" t="s">
        <v>16</v>
      </c>
      <c r="H10" s="80">
        <v>0</v>
      </c>
      <c r="I10" s="80">
        <v>0</v>
      </c>
    </row>
    <row r="11" spans="1:10">
      <c r="A11" s="80">
        <v>6</v>
      </c>
      <c r="B11" s="68">
        <f>B10+1</f>
        <v>46130</v>
      </c>
      <c r="C11" s="80" t="str">
        <f>TEXT(B11,"dddd")</f>
        <v>Saturday</v>
      </c>
      <c r="D11" s="80" t="s">
        <v>10</v>
      </c>
      <c r="E11" t="s">
        <v>248</v>
      </c>
      <c r="F11" t="s">
        <v>249</v>
      </c>
      <c r="G11" s="80" t="s">
        <v>16</v>
      </c>
      <c r="H11" s="80">
        <v>0</v>
      </c>
      <c r="I11" s="80">
        <v>0</v>
      </c>
    </row>
    <row r="12" spans="1:10">
      <c r="A12" s="80">
        <v>7</v>
      </c>
      <c r="B12" s="68">
        <f>B11+1</f>
        <v>46131</v>
      </c>
      <c r="C12" s="80" t="str">
        <f>TEXT(B12,"dddd")</f>
        <v>Sunday</v>
      </c>
      <c r="D12" s="80" t="s">
        <v>250</v>
      </c>
      <c r="E12" t="s">
        <v>251</v>
      </c>
      <c r="F12" t="s">
        <v>252</v>
      </c>
      <c r="G12" s="80" t="s">
        <v>16</v>
      </c>
      <c r="H12" s="80">
        <v>0</v>
      </c>
      <c r="I12" s="80">
        <v>0</v>
      </c>
    </row>
    <row r="13" spans="1:10">
      <c r="A13" s="80">
        <v>8</v>
      </c>
      <c r="B13" s="68">
        <f>B12+1</f>
        <v>46132</v>
      </c>
      <c r="C13" s="80" t="str">
        <f>TEXT(B13,"dddd")</f>
        <v>Monday</v>
      </c>
      <c r="D13" s="80" t="s">
        <v>10</v>
      </c>
      <c r="E13" t="s">
        <v>253</v>
      </c>
      <c r="F13" t="s">
        <v>254</v>
      </c>
      <c r="G13" s="80" t="s">
        <v>16</v>
      </c>
      <c r="H13" s="80">
        <v>0</v>
      </c>
      <c r="I13" s="80">
        <v>0</v>
      </c>
    </row>
    <row r="14" spans="1:10">
      <c r="A14" s="80">
        <v>9</v>
      </c>
      <c r="B14" s="68">
        <f>B13+1</f>
        <v>46133</v>
      </c>
      <c r="C14" s="80" t="str">
        <f>TEXT(B14,"dddd")</f>
        <v>Tuesday</v>
      </c>
      <c r="D14" s="80" t="s">
        <v>237</v>
      </c>
      <c r="E14" t="s">
        <v>255</v>
      </c>
      <c r="F14" t="s">
        <v>256</v>
      </c>
      <c r="G14" s="80" t="s">
        <v>16</v>
      </c>
      <c r="H14" s="80">
        <v>0</v>
      </c>
      <c r="I14" s="80">
        <v>0</v>
      </c>
    </row>
    <row r="15" spans="1:10">
      <c r="A15" s="80">
        <v>10</v>
      </c>
      <c r="B15" s="68">
        <f>B14+1</f>
        <v>46134</v>
      </c>
      <c r="C15" s="80" t="str">
        <f>TEXT(B15,"dddd")</f>
        <v>Wednesday</v>
      </c>
      <c r="D15" s="80" t="s">
        <v>95</v>
      </c>
      <c r="E15" t="s">
        <v>257</v>
      </c>
      <c r="F15" t="s">
        <v>258</v>
      </c>
      <c r="G15" s="80" t="s">
        <v>16</v>
      </c>
      <c r="H15" s="80">
        <v>0</v>
      </c>
      <c r="I15" s="80">
        <v>0</v>
      </c>
    </row>
    <row r="16" spans="1:10">
      <c r="A16" s="80">
        <v>11</v>
      </c>
      <c r="B16" s="68">
        <f>B15+1</f>
        <v>46135</v>
      </c>
      <c r="C16" s="80" t="str">
        <f>TEXT(B16,"dddd")</f>
        <v>Thursday</v>
      </c>
      <c r="D16" s="80" t="s">
        <v>245</v>
      </c>
      <c r="E16" t="s">
        <v>259</v>
      </c>
      <c r="F16" t="s">
        <v>260</v>
      </c>
      <c r="G16" s="80" t="s">
        <v>16</v>
      </c>
      <c r="H16" s="80">
        <v>0</v>
      </c>
      <c r="I16" s="80">
        <v>0</v>
      </c>
    </row>
    <row r="17" spans="1:10">
      <c r="A17" s="80">
        <v>12</v>
      </c>
      <c r="B17" s="68">
        <f>B16+1</f>
        <v>46136</v>
      </c>
      <c r="C17" s="80" t="str">
        <f>TEXT(B17,"dddd")</f>
        <v>Friday</v>
      </c>
      <c r="D17" s="80" t="s">
        <v>261</v>
      </c>
      <c r="E17" t="s">
        <v>262</v>
      </c>
      <c r="F17" t="s">
        <v>263</v>
      </c>
      <c r="G17" s="80" t="s">
        <v>16</v>
      </c>
      <c r="H17" s="80">
        <v>0</v>
      </c>
      <c r="I17" s="80">
        <v>0</v>
      </c>
    </row>
    <row r="18" spans="1:10">
      <c r="A18" s="80">
        <v>13</v>
      </c>
      <c r="B18" s="68">
        <f>B17+1</f>
        <v>46137</v>
      </c>
      <c r="C18" s="80" t="str">
        <f>TEXT(B18,"dddd")</f>
        <v>Saturday</v>
      </c>
      <c r="D18" s="80" t="s">
        <v>264</v>
      </c>
      <c r="E18" t="s">
        <v>265</v>
      </c>
      <c r="F18" t="s">
        <v>266</v>
      </c>
      <c r="G18" s="80" t="s">
        <v>16</v>
      </c>
      <c r="H18" s="80">
        <v>0</v>
      </c>
      <c r="I18" s="80">
        <v>0</v>
      </c>
    </row>
    <row r="19" spans="1:10">
      <c r="A19" s="80">
        <v>14</v>
      </c>
      <c r="B19" s="68">
        <f>B18+1</f>
        <v>46138</v>
      </c>
      <c r="C19" s="80" t="str">
        <f>TEXT(B19,"dddd")</f>
        <v>Sunday</v>
      </c>
      <c r="D19" s="80" t="s">
        <v>10</v>
      </c>
      <c r="E19" t="s">
        <v>267</v>
      </c>
      <c r="F19" t="s">
        <v>268</v>
      </c>
      <c r="G19" s="80" t="s">
        <v>16</v>
      </c>
      <c r="H19" s="80">
        <v>0</v>
      </c>
      <c r="I19" s="80">
        <v>0</v>
      </c>
    </row>
    <row r="20" spans="1:10">
      <c r="A20" s="72">
        <v>15</v>
      </c>
      <c r="B20" s="73">
        <f>B19+1</f>
        <v>46139</v>
      </c>
      <c r="C20" s="72" t="str">
        <f>TEXT(B20,"dddd")</f>
        <v>Monday</v>
      </c>
      <c r="D20" s="72" t="s">
        <v>153</v>
      </c>
      <c r="E20" s="40" t="s">
        <v>269</v>
      </c>
      <c r="F20" s="40" t="s">
        <v>270</v>
      </c>
      <c r="G20" s="72" t="s">
        <v>16</v>
      </c>
      <c r="H20" s="72">
        <v>0</v>
      </c>
      <c r="I20" s="72">
        <v>0</v>
      </c>
      <c r="J20" s="40"/>
    </row>
    <row r="21" spans="1:10">
      <c r="A21" s="80">
        <v>16</v>
      </c>
      <c r="B21" s="68">
        <f>B20+1</f>
        <v>46140</v>
      </c>
      <c r="C21" s="80" t="str">
        <f>TEXT(B21,"dddd")</f>
        <v>Tuesday</v>
      </c>
      <c r="D21" s="80" t="s">
        <v>169</v>
      </c>
      <c r="E21" t="s">
        <v>271</v>
      </c>
      <c r="F21" t="s">
        <v>272</v>
      </c>
      <c r="G21" s="80" t="s">
        <v>16</v>
      </c>
      <c r="H21" s="80">
        <v>0</v>
      </c>
      <c r="I21" s="80">
        <v>0</v>
      </c>
    </row>
    <row r="22" spans="1:10">
      <c r="A22" s="80">
        <v>17</v>
      </c>
      <c r="B22" s="68">
        <f>B21+1</f>
        <v>46141</v>
      </c>
      <c r="C22" s="80" t="str">
        <f>TEXT(B22,"dddd")</f>
        <v>Wednesday</v>
      </c>
      <c r="D22" s="80" t="s">
        <v>10</v>
      </c>
      <c r="E22" t="s">
        <v>273</v>
      </c>
      <c r="F22" t="s">
        <v>274</v>
      </c>
      <c r="G22" s="80" t="s">
        <v>16</v>
      </c>
      <c r="H22" s="80">
        <v>0</v>
      </c>
      <c r="I22" s="80">
        <v>0</v>
      </c>
    </row>
    <row r="23" spans="1:10">
      <c r="A23" s="80">
        <v>18</v>
      </c>
      <c r="B23" s="68">
        <f>B22+1</f>
        <v>46142</v>
      </c>
      <c r="C23" s="80" t="str">
        <f>TEXT(B23,"dddd")</f>
        <v>Thursday</v>
      </c>
      <c r="D23" s="80" t="s">
        <v>240</v>
      </c>
      <c r="E23" t="s">
        <v>275</v>
      </c>
      <c r="F23" t="s">
        <v>276</v>
      </c>
      <c r="G23" s="80" t="s">
        <v>16</v>
      </c>
      <c r="H23" s="80">
        <v>0</v>
      </c>
      <c r="I23" s="80">
        <v>0</v>
      </c>
    </row>
    <row r="24" spans="1:10">
      <c r="A24" s="80">
        <v>19</v>
      </c>
      <c r="B24" s="68">
        <f>B23+1</f>
        <v>46143</v>
      </c>
      <c r="C24" s="80" t="str">
        <f>TEXT(B24,"dddd")</f>
        <v>Friday</v>
      </c>
      <c r="D24" s="80" t="s">
        <v>237</v>
      </c>
      <c r="E24" t="s">
        <v>277</v>
      </c>
      <c r="F24" t="s">
        <v>278</v>
      </c>
      <c r="G24" s="80" t="s">
        <v>16</v>
      </c>
      <c r="H24" s="80">
        <v>0</v>
      </c>
      <c r="I24" s="80">
        <v>0</v>
      </c>
    </row>
    <row r="25" spans="1:10">
      <c r="A25" s="80">
        <v>20</v>
      </c>
      <c r="B25" s="68">
        <f>B24+1</f>
        <v>46144</v>
      </c>
      <c r="C25" s="80" t="str">
        <f>TEXT(B25,"dddd")</f>
        <v>Saturday</v>
      </c>
      <c r="D25" s="80" t="s">
        <v>279</v>
      </c>
      <c r="E25" t="s">
        <v>280</v>
      </c>
      <c r="F25" t="s">
        <v>281</v>
      </c>
      <c r="G25" s="80" t="s">
        <v>16</v>
      </c>
      <c r="H25" s="80">
        <v>0</v>
      </c>
      <c r="I25" s="80">
        <v>0</v>
      </c>
    </row>
    <row r="26" spans="1:10">
      <c r="A26" s="80">
        <v>21</v>
      </c>
      <c r="B26" s="68">
        <f>B25+1</f>
        <v>46145</v>
      </c>
      <c r="C26" s="80" t="str">
        <f>TEXT(B26,"dddd")</f>
        <v>Sunday</v>
      </c>
      <c r="D26" s="80" t="s">
        <v>10</v>
      </c>
      <c r="E26" t="s">
        <v>282</v>
      </c>
      <c r="F26" t="s">
        <v>268</v>
      </c>
      <c r="G26" s="80" t="s">
        <v>16</v>
      </c>
      <c r="H26" s="80">
        <v>0</v>
      </c>
      <c r="I26" s="80">
        <v>0</v>
      </c>
    </row>
    <row r="27" spans="1:10">
      <c r="A27" s="80">
        <v>22</v>
      </c>
      <c r="B27" s="68">
        <f>B26+1</f>
        <v>46146</v>
      </c>
      <c r="C27" s="80" t="str">
        <f>TEXT(B27,"dddd")</f>
        <v>Monday</v>
      </c>
      <c r="D27" s="80" t="s">
        <v>174</v>
      </c>
      <c r="E27" t="s">
        <v>283</v>
      </c>
      <c r="F27" t="s">
        <v>284</v>
      </c>
      <c r="G27" s="80" t="s">
        <v>16</v>
      </c>
      <c r="H27" s="80">
        <v>0</v>
      </c>
      <c r="I27" s="80">
        <v>0</v>
      </c>
    </row>
    <row r="28" spans="1:10">
      <c r="A28" s="80">
        <v>23</v>
      </c>
      <c r="B28" s="68">
        <f>B27+1</f>
        <v>46147</v>
      </c>
      <c r="C28" s="80" t="str">
        <f>TEXT(B28,"dddd")</f>
        <v>Tuesday</v>
      </c>
      <c r="D28" s="80" t="s">
        <v>285</v>
      </c>
      <c r="E28" t="s">
        <v>286</v>
      </c>
      <c r="F28" t="s">
        <v>287</v>
      </c>
      <c r="G28" s="80" t="s">
        <v>16</v>
      </c>
      <c r="H28" s="80">
        <v>0</v>
      </c>
      <c r="I28" s="80">
        <v>0</v>
      </c>
    </row>
    <row r="29" spans="1:10">
      <c r="A29" s="80">
        <v>24</v>
      </c>
      <c r="B29" s="68">
        <f>B28+1</f>
        <v>46148</v>
      </c>
      <c r="C29" s="80" t="str">
        <f>TEXT(B29,"dddd")</f>
        <v>Wednesday</v>
      </c>
      <c r="D29" s="80" t="s">
        <v>95</v>
      </c>
      <c r="E29" t="s">
        <v>288</v>
      </c>
      <c r="F29" t="s">
        <v>289</v>
      </c>
      <c r="G29" s="80" t="s">
        <v>16</v>
      </c>
      <c r="H29" s="80">
        <v>0</v>
      </c>
      <c r="I29" s="80">
        <v>0</v>
      </c>
    </row>
    <row r="30" spans="1:10">
      <c r="A30" s="80">
        <v>25</v>
      </c>
      <c r="B30" s="68">
        <f>B29+1</f>
        <v>46149</v>
      </c>
      <c r="C30" s="80" t="str">
        <f>TEXT(B30,"dddd")</f>
        <v>Thursday</v>
      </c>
      <c r="D30" s="80" t="s">
        <v>290</v>
      </c>
      <c r="E30" t="s">
        <v>291</v>
      </c>
      <c r="F30" t="s">
        <v>292</v>
      </c>
      <c r="G30" s="80" t="s">
        <v>16</v>
      </c>
      <c r="H30" s="80">
        <v>0</v>
      </c>
      <c r="I30" s="80">
        <v>0</v>
      </c>
    </row>
    <row r="31" spans="1:10">
      <c r="A31" s="80">
        <v>26</v>
      </c>
      <c r="B31" s="68">
        <f>B30+1</f>
        <v>46150</v>
      </c>
      <c r="C31" s="80" t="str">
        <f>TEXT(B31,"dddd")</f>
        <v>Friday</v>
      </c>
      <c r="D31" s="80" t="s">
        <v>10</v>
      </c>
      <c r="E31" t="s">
        <v>293</v>
      </c>
      <c r="F31" t="s">
        <v>294</v>
      </c>
      <c r="G31" s="80" t="s">
        <v>16</v>
      </c>
      <c r="H31" s="80">
        <v>0</v>
      </c>
      <c r="I31" s="80">
        <v>0</v>
      </c>
    </row>
    <row r="32" spans="1:10">
      <c r="A32" s="80">
        <v>27</v>
      </c>
      <c r="B32" s="68">
        <f>B31+1</f>
        <v>46151</v>
      </c>
      <c r="C32" s="80" t="str">
        <f>TEXT(B32,"dddd")</f>
        <v>Saturday</v>
      </c>
      <c r="D32" s="80" t="s">
        <v>264</v>
      </c>
      <c r="E32" t="s">
        <v>295</v>
      </c>
      <c r="F32" t="s">
        <v>296</v>
      </c>
      <c r="G32" s="80" t="s">
        <v>16</v>
      </c>
      <c r="H32" s="80">
        <v>0</v>
      </c>
      <c r="I32" s="80">
        <v>0</v>
      </c>
    </row>
    <row r="33" spans="1:9">
      <c r="A33" s="80">
        <v>28</v>
      </c>
      <c r="B33" s="68">
        <f>B32+1</f>
        <v>46152</v>
      </c>
      <c r="C33" s="80" t="str">
        <f>TEXT(B33,"dddd")</f>
        <v>Sunday</v>
      </c>
      <c r="D33" s="80" t="s">
        <v>297</v>
      </c>
      <c r="E33" t="s">
        <v>298</v>
      </c>
      <c r="F33" t="s">
        <v>299</v>
      </c>
      <c r="G33" s="80" t="s">
        <v>16</v>
      </c>
      <c r="H33" s="80">
        <v>0</v>
      </c>
      <c r="I33" s="80">
        <v>0</v>
      </c>
    </row>
    <row r="34" spans="1:9">
      <c r="A34" s="80">
        <v>29</v>
      </c>
      <c r="B34" s="68">
        <f>B33+1</f>
        <v>46153</v>
      </c>
      <c r="C34" s="80" t="str">
        <f>TEXT(B34,"dddd")</f>
        <v>Monday</v>
      </c>
      <c r="D34" s="80" t="s">
        <v>10</v>
      </c>
      <c r="E34" t="s">
        <v>300</v>
      </c>
      <c r="F34" t="s">
        <v>268</v>
      </c>
      <c r="G34" s="80" t="s">
        <v>16</v>
      </c>
      <c r="H34" s="80">
        <v>0</v>
      </c>
      <c r="I34" s="80">
        <v>0</v>
      </c>
    </row>
    <row r="35" spans="1:9">
      <c r="A35" s="80">
        <v>30</v>
      </c>
      <c r="B35" s="68">
        <f>B34+1</f>
        <v>46154</v>
      </c>
      <c r="C35" s="80" t="str">
        <f>TEXT(B35,"dddd")</f>
        <v>Tuesday</v>
      </c>
      <c r="D35" s="69" t="s">
        <v>301</v>
      </c>
      <c r="E35" t="s">
        <v>302</v>
      </c>
      <c r="F35" t="s">
        <v>303</v>
      </c>
      <c r="G35" s="80" t="s">
        <v>16</v>
      </c>
      <c r="H35" s="80">
        <v>0</v>
      </c>
      <c r="I35" s="80">
        <v>0</v>
      </c>
    </row>
    <row r="37" spans="1:9" ht="17.25">
      <c r="A37" s="64" t="s">
        <v>304</v>
      </c>
      <c r="E37" s="62" t="s">
        <v>305</v>
      </c>
    </row>
    <row r="38" spans="1:9">
      <c r="A38" s="55" t="s">
        <v>213</v>
      </c>
      <c r="B38" s="56" t="s">
        <v>214</v>
      </c>
      <c r="C38" s="56" t="s">
        <v>306</v>
      </c>
      <c r="E38" s="62" t="s">
        <v>307</v>
      </c>
    </row>
    <row r="39" spans="1:9">
      <c r="A39" t="s">
        <v>308</v>
      </c>
      <c r="B39" s="80">
        <f>COUNTIF(G6:G35,"Y")</f>
        <v>0</v>
      </c>
      <c r="C39" s="82">
        <f>IFERROR(B39/30,0)</f>
        <v>0</v>
      </c>
      <c r="E39" s="62" t="s">
        <v>309</v>
      </c>
    </row>
    <row r="40" spans="1:9">
      <c r="A40" t="s">
        <v>310</v>
      </c>
      <c r="B40" s="80">
        <f>30-B39</f>
        <v>30</v>
      </c>
      <c r="E40" s="71" t="s">
        <v>311</v>
      </c>
    </row>
    <row r="41" spans="1:9">
      <c r="A41" t="s">
        <v>312</v>
      </c>
      <c r="B41" s="80">
        <f>SUM(H6:H35)</f>
        <v>0</v>
      </c>
    </row>
    <row r="42" spans="1:9">
      <c r="A42" t="s">
        <v>313</v>
      </c>
      <c r="B42" s="80">
        <f>SUM(I6:I35)</f>
        <v>0</v>
      </c>
    </row>
    <row r="43" spans="1:9">
      <c r="A43" t="s">
        <v>314</v>
      </c>
      <c r="B43" s="70">
        <f>IFERROR(B41/B39,0)</f>
        <v>0</v>
      </c>
    </row>
    <row r="44" spans="1:9">
      <c r="A44" t="s">
        <v>315</v>
      </c>
      <c r="B44" s="80" t="str">
        <f>IFERROR(INDEX(D6:D35,MATCH(MAX(H6:H35),H6:H35,0)),"Log data first")</f>
        <v>Reddit</v>
      </c>
    </row>
  </sheetData>
  <conditionalFormatting sqref="G6:G35">
    <cfRule type="containsText" dxfId="0" priority="1" operator="containsText" text="Y">
      <formula>NOT(ISERROR(SEARCH("Y",G6)))</formula>
    </cfRule>
  </conditionalFormatting>
  <dataValidations count="1">
    <dataValidation type="list" allowBlank="1" showInputMessage="1" showErrorMessage="1" sqref="G6:G35" xr:uid="{DF842B61-1B6D-4551-8EEA-449418A99ABA}">
      <formula1>"Y,N"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4BEE-BC19-44A0-A4A1-D7D359B1CD20}">
  <dimension ref="A1:B32"/>
  <sheetViews>
    <sheetView workbookViewId="0"/>
  </sheetViews>
  <sheetFormatPr defaultRowHeight="15"/>
  <cols>
    <col min="1" max="1" width="41.85546875" customWidth="1"/>
    <col min="2" max="2" width="123.85546875" customWidth="1"/>
  </cols>
  <sheetData>
    <row r="1" spans="1:2" ht="21">
      <c r="A1" s="61" t="s">
        <v>316</v>
      </c>
    </row>
    <row r="2" spans="1:2">
      <c r="A2" s="62" t="s">
        <v>317</v>
      </c>
    </row>
    <row r="4" spans="1:2" ht="17.25">
      <c r="A4" s="74" t="s">
        <v>318</v>
      </c>
    </row>
    <row r="5" spans="1:2">
      <c r="A5" s="63" t="s">
        <v>0</v>
      </c>
      <c r="B5" s="75" t="s">
        <v>10</v>
      </c>
    </row>
    <row r="6" spans="1:2">
      <c r="A6" s="63" t="s">
        <v>175</v>
      </c>
      <c r="B6" s="75" t="s">
        <v>49</v>
      </c>
    </row>
    <row r="7" spans="1:2">
      <c r="A7" s="63" t="s">
        <v>319</v>
      </c>
      <c r="B7" s="75" t="s">
        <v>320</v>
      </c>
    </row>
    <row r="8" spans="1:2">
      <c r="A8" s="63" t="s">
        <v>321</v>
      </c>
      <c r="B8" s="75" t="s">
        <v>322</v>
      </c>
    </row>
    <row r="9" spans="1:2">
      <c r="A9" s="63" t="s">
        <v>323</v>
      </c>
      <c r="B9" s="75" t="s">
        <v>324</v>
      </c>
    </row>
    <row r="10" spans="1:2">
      <c r="A10" s="63" t="s">
        <v>325</v>
      </c>
      <c r="B10" s="75" t="s">
        <v>326</v>
      </c>
    </row>
    <row r="11" spans="1:2">
      <c r="A11" s="63" t="s">
        <v>327</v>
      </c>
      <c r="B11" s="76">
        <v>5</v>
      </c>
    </row>
    <row r="13" spans="1:2" ht="15.75">
      <c r="A13" s="77" t="s">
        <v>328</v>
      </c>
    </row>
    <row r="14" spans="1:2" ht="80.25" customHeight="1">
      <c r="A14" s="78" t="str">
        <f>"Write "&amp;B11&amp;" "&amp;B10&amp;" "&amp;B5&amp;" comments for "&amp;B6&amp;" about '"&amp;B7&amp;"'. Promotion intensity: "&amp;B9&amp;". In "&amp;IF(B9="low","only 1",IF(B9="medium","2-3","all"))&amp;" comment(s), naturally mention youandinotai.com and its feature: '"&amp;B8&amp;"'. Make each comment unique in length and angle. Never sound promotional. App URL: youandinotai.com"</f>
        <v>Write 5 casual Reddit comments for r/dating_advice about 'swipe fatigue and low response rates'. Promotion intensity: low. In only 1 comment(s), naturally mention youandinotai.com and its feature: 'AI-powered compatibility matching'. Make each comment unique in length and angle. Never sound promotional. App URL: youandinotai.com</v>
      </c>
    </row>
    <row r="17" spans="1:2" ht="17.25">
      <c r="A17" s="64" t="s">
        <v>329</v>
      </c>
    </row>
    <row r="18" spans="1:2">
      <c r="A18" s="55" t="s">
        <v>330</v>
      </c>
      <c r="B18" s="55" t="s">
        <v>331</v>
      </c>
    </row>
    <row r="19" spans="1:2" ht="351">
      <c r="A19" t="s">
        <v>332</v>
      </c>
      <c r="B19" s="83" t="s">
        <v>333</v>
      </c>
    </row>
    <row r="20" spans="1:2" ht="396.75">
      <c r="A20" t="s">
        <v>334</v>
      </c>
      <c r="B20" s="83" t="s">
        <v>335</v>
      </c>
    </row>
    <row r="21" spans="1:2" ht="381.75">
      <c r="A21" t="s">
        <v>336</v>
      </c>
      <c r="B21" s="83" t="s">
        <v>337</v>
      </c>
    </row>
    <row r="22" spans="1:2" ht="351">
      <c r="A22" t="s">
        <v>338</v>
      </c>
      <c r="B22" s="83" t="s">
        <v>339</v>
      </c>
    </row>
    <row r="23" spans="1:2" ht="366">
      <c r="A23" t="s">
        <v>340</v>
      </c>
      <c r="B23" s="83" t="s">
        <v>341</v>
      </c>
    </row>
    <row r="24" spans="1:2" ht="381.75">
      <c r="A24" t="s">
        <v>342</v>
      </c>
      <c r="B24" s="83" t="s">
        <v>343</v>
      </c>
    </row>
    <row r="25" spans="1:2" ht="351">
      <c r="A25" t="s">
        <v>344</v>
      </c>
      <c r="B25" s="83" t="s">
        <v>345</v>
      </c>
    </row>
    <row r="26" spans="1:2" ht="396.75">
      <c r="A26" t="s">
        <v>346</v>
      </c>
      <c r="B26" s="83" t="s">
        <v>347</v>
      </c>
    </row>
    <row r="27" spans="1:2" ht="409.6">
      <c r="A27" t="s">
        <v>348</v>
      </c>
      <c r="B27" s="83" t="s">
        <v>349</v>
      </c>
    </row>
    <row r="28" spans="1:2" ht="366">
      <c r="A28" t="s">
        <v>350</v>
      </c>
      <c r="B28" s="83" t="s">
        <v>351</v>
      </c>
    </row>
    <row r="29" spans="1:2" ht="381.75">
      <c r="A29" t="s">
        <v>352</v>
      </c>
      <c r="B29" s="83" t="s">
        <v>353</v>
      </c>
    </row>
    <row r="30" spans="1:2" ht="381.75">
      <c r="A30" t="s">
        <v>354</v>
      </c>
      <c r="B30" s="83" t="s">
        <v>355</v>
      </c>
    </row>
    <row r="31" spans="1:2" ht="351">
      <c r="A31" t="s">
        <v>356</v>
      </c>
      <c r="B31" s="83" t="s">
        <v>357</v>
      </c>
    </row>
    <row r="32" spans="1:2" ht="409.6">
      <c r="A32" t="s">
        <v>358</v>
      </c>
      <c r="B32" s="83" t="s">
        <v>359</v>
      </c>
    </row>
  </sheetData>
  <dataValidations count="3">
    <dataValidation type="list" allowBlank="1" showInputMessage="1" showErrorMessage="1" sqref="B5" xr:uid="{8C9DDE39-3525-4440-8601-AE58FAB45039}">
      <formula1>"Reddit,Discord,TikTok,Instagram,Threads,X/Twitter,Quora,Facebook,Email,Product Hunt,Hacker News"</formula1>
    </dataValidation>
    <dataValidation type="list" allowBlank="1" showInputMessage="1" showErrorMessage="1" sqref="B9" xr:uid="{1C5CEBED-2117-4D51-9988-897920F25322}">
      <formula1>"low,medium,high"</formula1>
    </dataValidation>
    <dataValidation type="list" allowBlank="1" showInputMessage="1" showErrorMessage="1" sqref="B10" xr:uid="{7830CB7E-7D66-48EC-BD74-88CFBF77C746}">
      <formula1>"casual,professional,empathetic,humorous,direct"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81113-A0EC-BF26-B231-AF423A3AD978}">
  <dimension ref="A1:E9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29.5703125" customWidth="1"/>
    <col min="2" max="2" width="14.5703125" customWidth="1"/>
    <col min="3" max="3" width="55.5703125" customWidth="1"/>
    <col min="4" max="4" width="21" customWidth="1"/>
    <col min="5" max="5" width="12.5703125" customWidth="1"/>
  </cols>
  <sheetData>
    <row r="1" spans="1:5" ht="16.5" customHeight="1">
      <c r="A1" s="42" t="s">
        <v>360</v>
      </c>
      <c r="B1" s="42" t="s">
        <v>361</v>
      </c>
      <c r="C1" s="42" t="s">
        <v>3</v>
      </c>
      <c r="D1" s="42" t="s">
        <v>362</v>
      </c>
      <c r="E1" s="42" t="s">
        <v>60</v>
      </c>
    </row>
    <row r="2" spans="1:5" ht="15" customHeight="1">
      <c r="A2" s="43" t="s">
        <v>363</v>
      </c>
      <c r="B2" s="43" t="s">
        <v>163</v>
      </c>
      <c r="C2" s="44" t="s">
        <v>364</v>
      </c>
      <c r="D2" s="43" t="s">
        <v>365</v>
      </c>
      <c r="E2" s="43" t="s">
        <v>21</v>
      </c>
    </row>
    <row r="3" spans="1:5" ht="15" customHeight="1">
      <c r="A3" s="45" t="s">
        <v>366</v>
      </c>
      <c r="B3" s="45" t="s">
        <v>199</v>
      </c>
      <c r="C3" s="46" t="s">
        <v>367</v>
      </c>
      <c r="D3" s="45" t="s">
        <v>368</v>
      </c>
      <c r="E3" s="45" t="s">
        <v>14</v>
      </c>
    </row>
    <row r="4" spans="1:5" ht="15" customHeight="1">
      <c r="A4" s="43" t="s">
        <v>369</v>
      </c>
      <c r="B4" s="43" t="s">
        <v>186</v>
      </c>
      <c r="C4" s="44" t="s">
        <v>370</v>
      </c>
      <c r="D4" s="43" t="s">
        <v>371</v>
      </c>
      <c r="E4" s="43" t="s">
        <v>34</v>
      </c>
    </row>
    <row r="5" spans="1:5" ht="15" customHeight="1">
      <c r="A5" s="45" t="s">
        <v>372</v>
      </c>
      <c r="B5" s="45" t="s">
        <v>163</v>
      </c>
      <c r="C5" s="46" t="s">
        <v>373</v>
      </c>
      <c r="D5" s="45" t="s">
        <v>374</v>
      </c>
      <c r="E5" s="45" t="s">
        <v>21</v>
      </c>
    </row>
    <row r="6" spans="1:5" ht="15" customHeight="1">
      <c r="A6" s="43" t="s">
        <v>375</v>
      </c>
      <c r="B6" s="43" t="s">
        <v>376</v>
      </c>
      <c r="C6" s="44" t="s">
        <v>377</v>
      </c>
      <c r="D6" s="43" t="s">
        <v>378</v>
      </c>
      <c r="E6" s="43" t="s">
        <v>39</v>
      </c>
    </row>
    <row r="7" spans="1:5" ht="15" customHeight="1">
      <c r="A7" s="45" t="s">
        <v>379</v>
      </c>
      <c r="B7" s="45" t="s">
        <v>380</v>
      </c>
      <c r="C7" s="46" t="s">
        <v>377</v>
      </c>
      <c r="D7" s="45" t="s">
        <v>381</v>
      </c>
      <c r="E7" s="45" t="s">
        <v>14</v>
      </c>
    </row>
    <row r="8" spans="1:5" ht="15" customHeight="1">
      <c r="A8" s="43" t="s">
        <v>382</v>
      </c>
      <c r="B8" s="43" t="s">
        <v>167</v>
      </c>
      <c r="C8" s="44" t="s">
        <v>377</v>
      </c>
      <c r="D8" s="43" t="s">
        <v>383</v>
      </c>
      <c r="E8" s="43" t="s">
        <v>39</v>
      </c>
    </row>
    <row r="9" spans="1:5" ht="15" customHeight="1">
      <c r="A9" s="45" t="s">
        <v>384</v>
      </c>
      <c r="B9" s="45" t="s">
        <v>181</v>
      </c>
      <c r="C9" s="46" t="s">
        <v>377</v>
      </c>
      <c r="D9" s="45" t="s">
        <v>385</v>
      </c>
      <c r="E9" s="45" t="s">
        <v>39</v>
      </c>
    </row>
  </sheetData>
  <hyperlinks>
    <hyperlink ref="C2" r:id="rId1" tooltip="https://www.facebook.com/groups/554021108616989/" xr:uid="{00000000-0004-0000-0400-000000000000}"/>
    <hyperlink ref="C3" r:id="rId2" tooltip="https://www.facebook.com/groups/RELATIONSHIPADVICE2K7/" xr:uid="{00000000-0004-0000-0400-000001000000}"/>
    <hyperlink ref="C4" r:id="rId3" tooltip="https://www.facebook.com/groups/modernmeet/" xr:uid="{00000000-0004-0000-0400-000002000000}"/>
    <hyperlink ref="C5" r:id="rId4" tooltip="https://www.facebook.com/groups/309709170838370/" xr:uid="{00000000-0004-0000-0400-000003000000}"/>
    <hyperlink ref="C6" r:id="rId5" tooltip="https://www.facebook.com/groups/" xr:uid="{00000000-0004-0000-0400-000004000000}"/>
    <hyperlink ref="C7" r:id="rId6" tooltip="https://www.facebook.com/groups/" xr:uid="{00000000-0004-0000-0400-000005000000}"/>
    <hyperlink ref="C8" r:id="rId7" tooltip="https://www.facebook.com/groups/" xr:uid="{00000000-0004-0000-0400-000006000000}"/>
    <hyperlink ref="C9" r:id="rId8" tooltip="https://www.facebook.com/groups/" xr:uid="{00000000-0004-0000-0400-000007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209E8-E1A8-202F-8DD2-931D8BB8791A}">
  <dimension ref="A1:E9"/>
  <sheetViews>
    <sheetView workbookViewId="0">
      <pane ySplit="1" topLeftCell="A2" activePane="bottomLeft" state="frozen"/>
      <selection pane="bottomLeft" activeCell="E32" sqref="E32"/>
    </sheetView>
  </sheetViews>
  <sheetFormatPr defaultColWidth="8.85546875" defaultRowHeight="15" customHeight="1"/>
  <cols>
    <col min="1" max="1" width="17.5703125" customWidth="1"/>
    <col min="2" max="2" width="18" customWidth="1"/>
    <col min="3" max="3" width="26.28515625" customWidth="1"/>
    <col min="4" max="4" width="17.28515625" customWidth="1"/>
    <col min="5" max="5" width="25" customWidth="1"/>
  </cols>
  <sheetData>
    <row r="1" spans="1:5" ht="16.5" customHeight="1">
      <c r="A1" s="42" t="s">
        <v>0</v>
      </c>
      <c r="B1" s="42" t="s">
        <v>386</v>
      </c>
      <c r="C1" s="42" t="s">
        <v>3</v>
      </c>
      <c r="D1" s="42" t="s">
        <v>387</v>
      </c>
      <c r="E1" s="42" t="s">
        <v>388</v>
      </c>
    </row>
    <row r="2" spans="1:5" ht="15" customHeight="1">
      <c r="A2" s="43" t="s">
        <v>389</v>
      </c>
      <c r="B2" s="43" t="s">
        <v>390</v>
      </c>
      <c r="C2" s="44" t="s">
        <v>391</v>
      </c>
      <c r="D2" s="43" t="s">
        <v>392</v>
      </c>
      <c r="E2" s="43" t="s">
        <v>393</v>
      </c>
    </row>
    <row r="3" spans="1:5" ht="15" customHeight="1">
      <c r="A3" s="45" t="s">
        <v>394</v>
      </c>
      <c r="B3" s="45" t="s">
        <v>395</v>
      </c>
      <c r="C3" s="46" t="s">
        <v>396</v>
      </c>
      <c r="D3" s="45" t="s">
        <v>397</v>
      </c>
      <c r="E3" s="45" t="s">
        <v>398</v>
      </c>
    </row>
    <row r="4" spans="1:5" ht="15" customHeight="1">
      <c r="A4" s="43" t="s">
        <v>399</v>
      </c>
      <c r="B4" s="43" t="s">
        <v>400</v>
      </c>
      <c r="C4" s="44" t="s">
        <v>401</v>
      </c>
      <c r="D4" s="43" t="s">
        <v>402</v>
      </c>
      <c r="E4" s="43" t="s">
        <v>403</v>
      </c>
    </row>
    <row r="5" spans="1:5" ht="15" customHeight="1">
      <c r="A5" s="45" t="s">
        <v>404</v>
      </c>
      <c r="B5" s="45" t="s">
        <v>405</v>
      </c>
      <c r="C5" s="46" t="s">
        <v>406</v>
      </c>
      <c r="D5" s="45" t="s">
        <v>407</v>
      </c>
      <c r="E5" s="45" t="s">
        <v>408</v>
      </c>
    </row>
    <row r="6" spans="1:5" ht="15" customHeight="1">
      <c r="A6" s="43" t="s">
        <v>409</v>
      </c>
      <c r="B6" s="43" t="s">
        <v>405</v>
      </c>
      <c r="C6" s="44" t="s">
        <v>410</v>
      </c>
      <c r="D6" s="43" t="s">
        <v>411</v>
      </c>
      <c r="E6" s="43" t="s">
        <v>412</v>
      </c>
    </row>
    <row r="7" spans="1:5" ht="15" customHeight="1">
      <c r="A7" s="45" t="s">
        <v>413</v>
      </c>
      <c r="B7" s="45" t="s">
        <v>400</v>
      </c>
      <c r="C7" s="46" t="s">
        <v>414</v>
      </c>
      <c r="D7" s="45" t="s">
        <v>415</v>
      </c>
      <c r="E7" s="45" t="s">
        <v>416</v>
      </c>
    </row>
    <row r="8" spans="1:5" ht="15" customHeight="1">
      <c r="A8" s="43" t="s">
        <v>417</v>
      </c>
      <c r="B8" s="43" t="s">
        <v>418</v>
      </c>
      <c r="C8" s="44" t="s">
        <v>419</v>
      </c>
      <c r="D8" s="43" t="s">
        <v>420</v>
      </c>
      <c r="E8" s="43" t="s">
        <v>421</v>
      </c>
    </row>
    <row r="9" spans="1:5" ht="15" customHeight="1">
      <c r="A9" s="45" t="s">
        <v>422</v>
      </c>
      <c r="B9" s="45" t="s">
        <v>423</v>
      </c>
      <c r="C9" s="46" t="s">
        <v>424</v>
      </c>
      <c r="D9" s="45" t="s">
        <v>425</v>
      </c>
      <c r="E9" s="45" t="s">
        <v>426</v>
      </c>
    </row>
  </sheetData>
  <hyperlinks>
    <hyperlink ref="C2" r:id="rId1" tooltip="https://mailchimp.com/" xr:uid="{00000000-0004-0000-0500-000000000000}"/>
    <hyperlink ref="C3" r:id="rId2" tooltip="https://www.brevo.com/" xr:uid="{00000000-0004-0000-0500-000001000000}"/>
    <hyperlink ref="C4" r:id="rId3" tooltip="https://www.beehiiv.com/" xr:uid="{00000000-0004-0000-0500-000002000000}"/>
    <hyperlink ref="C5" r:id="rId4" tooltip="https://www.mailerlite.com/" xr:uid="{00000000-0004-0000-0500-000003000000}"/>
    <hyperlink ref="C6" r:id="rId5" tooltip="https://moosend.com/" xr:uid="{00000000-0004-0000-0500-000004000000}"/>
    <hyperlink ref="C7" r:id="rId6" tooltip="https://www.sender.net/" xr:uid="{00000000-0004-0000-0500-000005000000}"/>
    <hyperlink ref="C8" r:id="rId7" tooltip="https://www.mailjet.com/" xr:uid="{00000000-0004-0000-0500-000006000000}"/>
    <hyperlink ref="C9" r:id="rId8" tooltip="https://www.hubspot.com/" xr:uid="{00000000-0004-0000-0500-000007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2FFD-2077-C4C8-6386-ABF9F80CA548}">
  <dimension ref="A1:E9"/>
  <sheetViews>
    <sheetView workbookViewId="0">
      <pane ySplit="1" topLeftCell="A2" activePane="bottomLeft" state="frozen"/>
      <selection pane="bottomLeft"/>
    </sheetView>
  </sheetViews>
  <sheetFormatPr defaultColWidth="8.85546875" defaultRowHeight="15" customHeight="1"/>
  <cols>
    <col min="1" max="1" width="18.5703125" customWidth="1"/>
    <col min="2" max="2" width="18.42578125" customWidth="1"/>
    <col min="3" max="3" width="14.42578125" customWidth="1"/>
    <col min="4" max="4" width="39.85546875" customWidth="1"/>
    <col min="5" max="5" width="24.5703125" customWidth="1"/>
  </cols>
  <sheetData>
    <row r="1" spans="1:5" ht="16.5" customHeight="1">
      <c r="A1" s="42" t="s">
        <v>0</v>
      </c>
      <c r="B1" s="42" t="s">
        <v>175</v>
      </c>
      <c r="C1" s="42" t="s">
        <v>427</v>
      </c>
      <c r="D1" s="42" t="s">
        <v>3</v>
      </c>
      <c r="E1" s="42" t="s">
        <v>149</v>
      </c>
    </row>
    <row r="2" spans="1:5" ht="15" customHeight="1">
      <c r="A2" s="43" t="s">
        <v>261</v>
      </c>
      <c r="B2" s="43" t="s">
        <v>428</v>
      </c>
      <c r="C2" s="43" t="s">
        <v>429</v>
      </c>
      <c r="D2" s="44" t="s">
        <v>430</v>
      </c>
      <c r="E2" s="43" t="s">
        <v>431</v>
      </c>
    </row>
    <row r="3" spans="1:5" ht="15" customHeight="1">
      <c r="A3" s="45" t="s">
        <v>261</v>
      </c>
      <c r="B3" s="45" t="s">
        <v>432</v>
      </c>
      <c r="C3" s="45" t="s">
        <v>433</v>
      </c>
      <c r="D3" s="46" t="s">
        <v>434</v>
      </c>
      <c r="E3" s="45" t="s">
        <v>435</v>
      </c>
    </row>
    <row r="4" spans="1:5" ht="15" customHeight="1">
      <c r="A4" s="43" t="s">
        <v>436</v>
      </c>
      <c r="B4" s="43" t="s">
        <v>437</v>
      </c>
      <c r="C4" s="43" t="s">
        <v>438</v>
      </c>
      <c r="D4" s="44" t="s">
        <v>439</v>
      </c>
      <c r="E4" s="43" t="s">
        <v>440</v>
      </c>
    </row>
    <row r="5" spans="1:5" ht="15" customHeight="1">
      <c r="A5" s="45" t="s">
        <v>441</v>
      </c>
      <c r="B5" s="45" t="s">
        <v>442</v>
      </c>
      <c r="C5" s="45" t="s">
        <v>163</v>
      </c>
      <c r="D5" s="46" t="s">
        <v>443</v>
      </c>
      <c r="E5" s="45" t="s">
        <v>444</v>
      </c>
    </row>
    <row r="6" spans="1:5" ht="15" customHeight="1">
      <c r="A6" s="43" t="s">
        <v>445</v>
      </c>
      <c r="B6" s="43" t="s">
        <v>442</v>
      </c>
      <c r="C6" s="43" t="s">
        <v>186</v>
      </c>
      <c r="D6" s="44" t="s">
        <v>446</v>
      </c>
      <c r="E6" s="43" t="s">
        <v>447</v>
      </c>
    </row>
    <row r="7" spans="1:5" ht="15" customHeight="1">
      <c r="A7" s="45" t="s">
        <v>448</v>
      </c>
      <c r="B7" s="45" t="s">
        <v>449</v>
      </c>
      <c r="C7" s="45" t="s">
        <v>450</v>
      </c>
      <c r="D7" s="46" t="s">
        <v>451</v>
      </c>
      <c r="E7" s="45" t="s">
        <v>452</v>
      </c>
    </row>
    <row r="8" spans="1:5" ht="15" customHeight="1">
      <c r="A8" s="43" t="s">
        <v>453</v>
      </c>
      <c r="B8" s="43" t="s">
        <v>454</v>
      </c>
      <c r="C8" s="43" t="s">
        <v>167</v>
      </c>
      <c r="D8" s="44" t="s">
        <v>455</v>
      </c>
      <c r="E8" s="43" t="s">
        <v>456</v>
      </c>
    </row>
    <row r="9" spans="1:5" ht="15" customHeight="1">
      <c r="A9" s="45" t="s">
        <v>457</v>
      </c>
      <c r="B9" s="45" t="s">
        <v>454</v>
      </c>
      <c r="C9" s="45" t="s">
        <v>181</v>
      </c>
      <c r="D9" s="46" t="s">
        <v>90</v>
      </c>
      <c r="E9" s="45" t="s">
        <v>458</v>
      </c>
    </row>
  </sheetData>
  <hyperlinks>
    <hyperlink ref="D2" r:id="rId1" tooltip="https://thebigdatingspace.quora.com/" xr:uid="{00000000-0004-0000-0600-000000000000}"/>
    <hyperlink ref="D3" r:id="rId2" tooltip="https://www.quora.com/topic/Relationships" xr:uid="{00000000-0004-0000-0600-000001000000}"/>
    <hyperlink ref="D4" r:id="rId3" tooltip="https://www.skool.com/" xr:uid="{00000000-0004-0000-0600-000002000000}"/>
    <hyperlink ref="D5" r:id="rId4" tooltip="https://www.loveshack.org/" xr:uid="{00000000-0004-0000-0600-000003000000}"/>
    <hyperlink ref="D6" r:id="rId5" tooltip="https://www.enotalone.com/" xr:uid="{00000000-0004-0000-0600-000004000000}"/>
    <hyperlink ref="D7" r:id="rId6" tooltip="https://www.mingle2.com/" xr:uid="{00000000-0004-0000-0600-000005000000}"/>
    <hyperlink ref="D8" r:id="rId7" tooltip="https://saltdating.com/" xr:uid="{00000000-0004-0000-0600-000006000000}"/>
    <hyperlink ref="D9" r:id="rId8" tooltip="https://thehiveindex.com/topics/dating/" xr:uid="{00000000-0004-0000-0600-000007000000}"/>
  </hyperlinks>
  <pageMargins left="0.7" right="0.7" top="0.75" bottom="0.75" header="0.3" footer="0.3"/>
  <pageSetup orientation="portrait"/>
  <headerFooter>
    <oddHeader>&amp;L&amp;C&amp;R</oddHeader>
    <oddFooter>&amp;L&amp;C&amp;R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3BD34-B78F-41C6-BBC3-54C7C23A687D}">
  <dimension ref="A1:H69"/>
  <sheetViews>
    <sheetView topLeftCell="A22" workbookViewId="0"/>
  </sheetViews>
  <sheetFormatPr defaultRowHeight="15"/>
  <cols>
    <col min="1" max="1" width="19" customWidth="1"/>
    <col min="2" max="2" width="76.140625" customWidth="1"/>
    <col min="3" max="3" width="28.5703125" customWidth="1"/>
    <col min="4" max="6" width="22.85546875" customWidth="1"/>
  </cols>
  <sheetData>
    <row r="1" spans="1:8" ht="35.25" customHeight="1">
      <c r="A1" s="93" t="s">
        <v>459</v>
      </c>
      <c r="B1" s="85"/>
      <c r="C1" s="85"/>
      <c r="D1" s="85"/>
      <c r="E1" s="85"/>
      <c r="F1" s="85"/>
      <c r="G1" s="85"/>
      <c r="H1" s="85"/>
    </row>
    <row r="2" spans="1:8">
      <c r="A2" s="94" t="s">
        <v>460</v>
      </c>
      <c r="B2" s="85"/>
      <c r="C2" s="85"/>
      <c r="D2" s="85"/>
      <c r="E2" s="85"/>
      <c r="F2" s="85"/>
      <c r="G2" s="85"/>
      <c r="H2" s="85"/>
    </row>
    <row r="4" spans="1:8" ht="17.25">
      <c r="A4" s="95" t="s">
        <v>461</v>
      </c>
      <c r="B4" s="85"/>
      <c r="C4" s="85"/>
      <c r="D4" s="85"/>
      <c r="E4" s="85"/>
      <c r="F4" s="85"/>
      <c r="G4" s="85"/>
      <c r="H4" s="85"/>
    </row>
    <row r="5" spans="1:8">
      <c r="A5" s="5" t="s">
        <v>0</v>
      </c>
      <c r="B5" s="5" t="s">
        <v>462</v>
      </c>
      <c r="C5" s="5" t="s">
        <v>463</v>
      </c>
      <c r="D5" s="5" t="s">
        <v>464</v>
      </c>
      <c r="E5" s="5" t="s">
        <v>465</v>
      </c>
      <c r="F5" s="5" t="s">
        <v>466</v>
      </c>
    </row>
    <row r="6" spans="1:8">
      <c r="A6" s="6" t="s">
        <v>467</v>
      </c>
      <c r="B6" s="6" t="s">
        <v>468</v>
      </c>
      <c r="C6" s="6" t="s">
        <v>469</v>
      </c>
      <c r="D6" s="6" t="s">
        <v>470</v>
      </c>
      <c r="E6" s="6" t="s">
        <v>471</v>
      </c>
      <c r="F6" s="6" t="s">
        <v>472</v>
      </c>
    </row>
    <row r="7" spans="1:8">
      <c r="A7" s="7" t="s">
        <v>473</v>
      </c>
      <c r="B7" s="7" t="s">
        <v>474</v>
      </c>
      <c r="C7" s="7" t="s">
        <v>475</v>
      </c>
      <c r="D7" s="7" t="s">
        <v>476</v>
      </c>
      <c r="E7" s="7" t="s">
        <v>477</v>
      </c>
      <c r="F7" s="7" t="s">
        <v>478</v>
      </c>
    </row>
    <row r="9" spans="1:8" ht="17.25">
      <c r="A9" s="96" t="s">
        <v>479</v>
      </c>
      <c r="B9" s="85"/>
      <c r="C9" s="85"/>
      <c r="D9" s="85"/>
      <c r="E9" s="85"/>
      <c r="F9" s="85"/>
      <c r="G9" s="85"/>
      <c r="H9" s="85"/>
    </row>
    <row r="10" spans="1:8">
      <c r="A10" s="8" t="s">
        <v>480</v>
      </c>
      <c r="B10" s="8" t="s">
        <v>481</v>
      </c>
      <c r="C10" s="8" t="s">
        <v>482</v>
      </c>
      <c r="D10" s="8" t="s">
        <v>483</v>
      </c>
      <c r="E10" s="8" t="s">
        <v>484</v>
      </c>
      <c r="F10" s="8" t="s">
        <v>485</v>
      </c>
    </row>
    <row r="11" spans="1:8" ht="60" customHeight="1">
      <c r="A11" s="9" t="s">
        <v>486</v>
      </c>
      <c r="B11" s="9" t="s">
        <v>487</v>
      </c>
      <c r="C11" s="9" t="s">
        <v>488</v>
      </c>
      <c r="D11" s="9" t="s">
        <v>489</v>
      </c>
      <c r="E11" s="9" t="s">
        <v>490</v>
      </c>
      <c r="F11" s="9" t="s">
        <v>491</v>
      </c>
    </row>
    <row r="12" spans="1:8" ht="60" customHeight="1">
      <c r="A12" s="9" t="s">
        <v>492</v>
      </c>
      <c r="B12" s="9" t="s">
        <v>493</v>
      </c>
      <c r="C12" s="9" t="s">
        <v>494</v>
      </c>
      <c r="D12" s="9" t="s">
        <v>495</v>
      </c>
      <c r="E12" s="9" t="s">
        <v>496</v>
      </c>
      <c r="F12" s="9" t="s">
        <v>497</v>
      </c>
    </row>
    <row r="13" spans="1:8" ht="60" customHeight="1">
      <c r="A13" s="9" t="s">
        <v>498</v>
      </c>
      <c r="B13" s="9" t="s">
        <v>499</v>
      </c>
      <c r="C13" s="9" t="s">
        <v>500</v>
      </c>
      <c r="D13" s="9" t="s">
        <v>501</v>
      </c>
      <c r="E13" s="9" t="s">
        <v>502</v>
      </c>
      <c r="F13" s="9" t="s">
        <v>503</v>
      </c>
    </row>
    <row r="14" spans="1:8" ht="60" customHeight="1">
      <c r="A14" s="10" t="s">
        <v>504</v>
      </c>
      <c r="B14" s="10" t="s">
        <v>505</v>
      </c>
      <c r="C14" s="10" t="s">
        <v>506</v>
      </c>
      <c r="D14" s="10" t="s">
        <v>507</v>
      </c>
      <c r="E14" s="10" t="s">
        <v>508</v>
      </c>
      <c r="F14" s="10" t="s">
        <v>503</v>
      </c>
    </row>
    <row r="16" spans="1:8" ht="17.25">
      <c r="A16" s="97" t="s">
        <v>509</v>
      </c>
      <c r="B16" s="85"/>
      <c r="C16" s="85"/>
      <c r="D16" s="85"/>
      <c r="E16" s="85"/>
      <c r="F16" s="85"/>
      <c r="G16" s="85"/>
      <c r="H16" s="85"/>
    </row>
    <row r="17" spans="1:8">
      <c r="A17" s="1" t="s">
        <v>510</v>
      </c>
      <c r="B17" s="1" t="s">
        <v>511</v>
      </c>
      <c r="C17" s="1" t="s">
        <v>512</v>
      </c>
    </row>
    <row r="18" spans="1:8" ht="65.25" customHeight="1">
      <c r="A18" s="83" t="s">
        <v>513</v>
      </c>
      <c r="B18" s="83" t="s">
        <v>514</v>
      </c>
      <c r="C18" s="83" t="s">
        <v>515</v>
      </c>
    </row>
    <row r="19" spans="1:8" ht="65.25" customHeight="1">
      <c r="A19" s="83" t="s">
        <v>516</v>
      </c>
      <c r="B19" s="83" t="s">
        <v>517</v>
      </c>
      <c r="C19" s="83" t="s">
        <v>518</v>
      </c>
    </row>
    <row r="20" spans="1:8" ht="65.25" customHeight="1">
      <c r="A20" s="83" t="s">
        <v>519</v>
      </c>
      <c r="B20" s="83" t="s">
        <v>520</v>
      </c>
      <c r="C20" s="83" t="s">
        <v>53</v>
      </c>
    </row>
    <row r="21" spans="1:8" ht="65.25" customHeight="1">
      <c r="A21" s="83" t="s">
        <v>521</v>
      </c>
      <c r="B21" s="83" t="s">
        <v>522</v>
      </c>
      <c r="C21" s="83" t="s">
        <v>523</v>
      </c>
    </row>
    <row r="22" spans="1:8" ht="65.25" customHeight="1">
      <c r="A22" s="83" t="s">
        <v>524</v>
      </c>
      <c r="B22" s="83" t="s">
        <v>525</v>
      </c>
      <c r="C22" s="83" t="s">
        <v>526</v>
      </c>
    </row>
    <row r="23" spans="1:8" ht="65.25" customHeight="1">
      <c r="A23" s="83" t="s">
        <v>527</v>
      </c>
      <c r="B23" s="83" t="s">
        <v>528</v>
      </c>
      <c r="C23" s="83" t="s">
        <v>31</v>
      </c>
    </row>
    <row r="25" spans="1:8" ht="17.25">
      <c r="A25" s="84" t="s">
        <v>529</v>
      </c>
      <c r="B25" s="85"/>
      <c r="C25" s="85"/>
      <c r="D25" s="85"/>
      <c r="E25" s="85"/>
      <c r="F25" s="85"/>
      <c r="G25" s="85"/>
      <c r="H25" s="85"/>
    </row>
    <row r="26" spans="1:8">
      <c r="A26" s="2" t="s">
        <v>510</v>
      </c>
      <c r="B26" s="2" t="s">
        <v>511</v>
      </c>
      <c r="C26" s="2" t="s">
        <v>530</v>
      </c>
    </row>
    <row r="27" spans="1:8" ht="65.25" customHeight="1">
      <c r="A27" s="83" t="s">
        <v>531</v>
      </c>
      <c r="B27" s="83" t="s">
        <v>532</v>
      </c>
      <c r="C27" s="83" t="s">
        <v>533</v>
      </c>
    </row>
    <row r="28" spans="1:8" ht="65.25" customHeight="1">
      <c r="A28" s="83" t="s">
        <v>534</v>
      </c>
      <c r="B28" s="83" t="s">
        <v>535</v>
      </c>
      <c r="C28" s="83" t="s">
        <v>536</v>
      </c>
    </row>
    <row r="29" spans="1:8" ht="65.25" customHeight="1">
      <c r="A29" s="83" t="s">
        <v>537</v>
      </c>
      <c r="B29" s="83" t="s">
        <v>538</v>
      </c>
      <c r="C29" s="83" t="s">
        <v>539</v>
      </c>
    </row>
    <row r="30" spans="1:8" ht="65.25" customHeight="1">
      <c r="A30" s="83" t="s">
        <v>540</v>
      </c>
      <c r="B30" s="83" t="s">
        <v>541</v>
      </c>
      <c r="C30" s="83" t="s">
        <v>542</v>
      </c>
    </row>
    <row r="31" spans="1:8" ht="65.25" customHeight="1">
      <c r="A31" s="83" t="s">
        <v>543</v>
      </c>
      <c r="B31" s="83" t="s">
        <v>544</v>
      </c>
      <c r="C31" s="83" t="s">
        <v>545</v>
      </c>
    </row>
    <row r="32" spans="1:8" ht="65.25" customHeight="1">
      <c r="A32" s="83" t="s">
        <v>546</v>
      </c>
      <c r="B32" s="83" t="s">
        <v>547</v>
      </c>
      <c r="C32" s="83" t="s">
        <v>548</v>
      </c>
    </row>
    <row r="34" spans="1:8" ht="17.25">
      <c r="A34" s="86" t="s">
        <v>549</v>
      </c>
      <c r="B34" s="85"/>
      <c r="C34" s="85"/>
      <c r="D34" s="85"/>
      <c r="E34" s="85"/>
      <c r="F34" s="85"/>
      <c r="G34" s="85"/>
      <c r="H34" s="85"/>
    </row>
    <row r="35" spans="1:8">
      <c r="A35" s="3" t="s">
        <v>0</v>
      </c>
      <c r="B35" s="3" t="s">
        <v>550</v>
      </c>
      <c r="C35" s="3" t="s">
        <v>551</v>
      </c>
      <c r="D35" s="3" t="s">
        <v>552</v>
      </c>
      <c r="E35" s="3" t="s">
        <v>553</v>
      </c>
    </row>
    <row r="36" spans="1:8" ht="50.25" customHeight="1">
      <c r="A36" s="83" t="s">
        <v>467</v>
      </c>
      <c r="B36" s="83" t="s">
        <v>554</v>
      </c>
      <c r="C36" s="83" t="s">
        <v>555</v>
      </c>
      <c r="D36" s="83" t="s">
        <v>556</v>
      </c>
      <c r="E36" s="83" t="s">
        <v>557</v>
      </c>
    </row>
    <row r="37" spans="1:8" ht="50.25" customHeight="1">
      <c r="A37" s="83" t="s">
        <v>473</v>
      </c>
      <c r="B37" s="83" t="s">
        <v>558</v>
      </c>
      <c r="C37" s="83" t="s">
        <v>559</v>
      </c>
      <c r="D37" s="83" t="s">
        <v>560</v>
      </c>
      <c r="E37" s="83" t="s">
        <v>561</v>
      </c>
    </row>
    <row r="39" spans="1:8" ht="17.25">
      <c r="A39" s="87" t="s">
        <v>562</v>
      </c>
      <c r="B39" s="85"/>
      <c r="C39" s="85"/>
      <c r="D39" s="85"/>
      <c r="E39" s="85"/>
      <c r="F39" s="85"/>
      <c r="G39" s="85"/>
      <c r="H39" s="85"/>
    </row>
    <row r="40" spans="1:8">
      <c r="A40" s="4" t="s">
        <v>563</v>
      </c>
      <c r="B40" s="4" t="s">
        <v>564</v>
      </c>
      <c r="C40" s="4" t="s">
        <v>565</v>
      </c>
    </row>
    <row r="41" spans="1:8" ht="106.5">
      <c r="A41" s="83">
        <v>1</v>
      </c>
      <c r="B41" s="83" t="s">
        <v>566</v>
      </c>
      <c r="C41" s="83" t="s">
        <v>567</v>
      </c>
    </row>
    <row r="42" spans="1:8" ht="106.5">
      <c r="A42" s="83">
        <v>2</v>
      </c>
      <c r="B42" s="83" t="s">
        <v>568</v>
      </c>
      <c r="C42" s="83" t="s">
        <v>569</v>
      </c>
    </row>
    <row r="43" spans="1:8" ht="121.5">
      <c r="A43" s="83">
        <v>3</v>
      </c>
      <c r="B43" s="83" t="s">
        <v>570</v>
      </c>
      <c r="C43" s="83" t="s">
        <v>571</v>
      </c>
    </row>
    <row r="44" spans="1:8" ht="106.5">
      <c r="A44" s="83">
        <v>4</v>
      </c>
      <c r="B44" s="83" t="s">
        <v>572</v>
      </c>
      <c r="C44" s="83" t="s">
        <v>573</v>
      </c>
    </row>
    <row r="45" spans="1:8" ht="91.5">
      <c r="A45" s="83">
        <v>5</v>
      </c>
      <c r="B45" s="83" t="s">
        <v>574</v>
      </c>
      <c r="C45" s="83" t="s">
        <v>575</v>
      </c>
    </row>
    <row r="46" spans="1:8" ht="121.5">
      <c r="A46" s="83">
        <v>6</v>
      </c>
      <c r="B46" s="83" t="s">
        <v>576</v>
      </c>
      <c r="C46" s="83" t="s">
        <v>577</v>
      </c>
    </row>
    <row r="47" spans="1:8" ht="137.25">
      <c r="A47" s="83">
        <v>7</v>
      </c>
      <c r="B47" s="83" t="s">
        <v>578</v>
      </c>
      <c r="C47" s="83" t="s">
        <v>579</v>
      </c>
    </row>
    <row r="48" spans="1:8" ht="76.5">
      <c r="A48" s="83">
        <v>8</v>
      </c>
      <c r="B48" s="83" t="s">
        <v>580</v>
      </c>
      <c r="C48" s="83" t="s">
        <v>581</v>
      </c>
    </row>
    <row r="50" spans="1:8" ht="17.25">
      <c r="A50" s="88" t="s">
        <v>582</v>
      </c>
      <c r="B50" s="85"/>
      <c r="C50" s="85"/>
      <c r="D50" s="85"/>
      <c r="E50" s="85"/>
      <c r="F50" s="85"/>
      <c r="G50" s="85"/>
      <c r="H50" s="85"/>
    </row>
    <row r="51" spans="1:8">
      <c r="A51" s="11" t="s">
        <v>466</v>
      </c>
      <c r="B51" s="11" t="s">
        <v>0</v>
      </c>
      <c r="C51" s="11" t="s">
        <v>175</v>
      </c>
      <c r="D51" s="11" t="s">
        <v>58</v>
      </c>
      <c r="E51" s="11" t="s">
        <v>60</v>
      </c>
      <c r="F51" s="11" t="s">
        <v>583</v>
      </c>
    </row>
    <row r="52" spans="1:8" ht="91.5">
      <c r="A52" s="9" t="s">
        <v>584</v>
      </c>
      <c r="B52" s="9" t="s">
        <v>10</v>
      </c>
      <c r="C52" s="9" t="s">
        <v>53</v>
      </c>
      <c r="D52" s="9" t="s">
        <v>54</v>
      </c>
      <c r="E52" s="9" t="s">
        <v>14</v>
      </c>
      <c r="F52" s="9" t="s">
        <v>585</v>
      </c>
    </row>
    <row r="53" spans="1:8" ht="76.5">
      <c r="A53" s="9" t="s">
        <v>586</v>
      </c>
      <c r="B53" s="9" t="s">
        <v>10</v>
      </c>
      <c r="C53" s="9" t="s">
        <v>11</v>
      </c>
      <c r="D53" s="12">
        <v>5910865</v>
      </c>
      <c r="E53" s="9" t="s">
        <v>14</v>
      </c>
      <c r="F53" s="9" t="s">
        <v>587</v>
      </c>
    </row>
    <row r="54" spans="1:8" ht="60.75">
      <c r="A54" s="9" t="s">
        <v>588</v>
      </c>
      <c r="B54" s="9" t="s">
        <v>10</v>
      </c>
      <c r="C54" s="9" t="s">
        <v>49</v>
      </c>
      <c r="D54" s="9" t="s">
        <v>50</v>
      </c>
      <c r="E54" s="9" t="s">
        <v>14</v>
      </c>
      <c r="F54" s="9" t="s">
        <v>589</v>
      </c>
    </row>
    <row r="55" spans="1:8">
      <c r="A55" s="9" t="s">
        <v>590</v>
      </c>
      <c r="B55" s="9" t="s">
        <v>237</v>
      </c>
      <c r="C55" s="9" t="s">
        <v>62</v>
      </c>
      <c r="D55" s="9" t="s">
        <v>63</v>
      </c>
      <c r="E55" s="9" t="s">
        <v>14</v>
      </c>
      <c r="F55" s="52" t="s">
        <v>591</v>
      </c>
      <c r="G55" s="53" t="s">
        <v>592</v>
      </c>
      <c r="H55" s="53" t="s">
        <v>207</v>
      </c>
    </row>
    <row r="56" spans="1:8">
      <c r="A56" s="9" t="s">
        <v>593</v>
      </c>
      <c r="B56" s="9" t="s">
        <v>237</v>
      </c>
      <c r="C56" s="9" t="s">
        <v>66</v>
      </c>
      <c r="D56" s="9" t="s">
        <v>67</v>
      </c>
      <c r="E56" s="9" t="s">
        <v>14</v>
      </c>
      <c r="F56" s="54" t="s">
        <v>594</v>
      </c>
      <c r="G56" s="56" t="s">
        <v>595</v>
      </c>
      <c r="H56" s="56" t="s">
        <v>596</v>
      </c>
    </row>
    <row r="57" spans="1:8" ht="30.75">
      <c r="A57" s="9" t="s">
        <v>597</v>
      </c>
      <c r="B57" s="47"/>
      <c r="C57" s="47"/>
      <c r="D57" s="47"/>
      <c r="E57" s="47"/>
      <c r="F57" s="9" t="s">
        <v>598</v>
      </c>
    </row>
    <row r="58" spans="1:8">
      <c r="A58" s="9" t="s">
        <v>599</v>
      </c>
      <c r="B58" s="48">
        <v>0</v>
      </c>
      <c r="C58" s="48">
        <v>0</v>
      </c>
      <c r="D58" s="48">
        <v>0</v>
      </c>
      <c r="E58" s="48">
        <v>0</v>
      </c>
      <c r="F58" s="57">
        <v>200</v>
      </c>
      <c r="G58" s="82">
        <f>IFERROR(SUM(B58:E58)/F58,0)</f>
        <v>0</v>
      </c>
      <c r="H58" s="80" t="str">
        <f>IF(G58&gt;=0.9,"✅ On Track",IF(G58&gt;=0.5,"⚠️ Behind","❌ Off Track"))</f>
        <v>❌ Off Track</v>
      </c>
    </row>
    <row r="59" spans="1:8">
      <c r="A59" s="10" t="s">
        <v>600</v>
      </c>
      <c r="B59" s="49">
        <v>0</v>
      </c>
      <c r="C59" s="49">
        <v>0</v>
      </c>
      <c r="D59" s="49">
        <v>0</v>
      </c>
      <c r="E59" s="49">
        <v>0</v>
      </c>
      <c r="F59" s="58">
        <v>2000</v>
      </c>
      <c r="G59" s="82">
        <f>IFERROR(SUM(B59:E59)/F59,0)</f>
        <v>0</v>
      </c>
      <c r="H59" s="80" t="str">
        <f>IF(G59&gt;=0.9,"✅ On Track",IF(G59&gt;=0.5,"⚠️ Behind","❌ Off Track"))</f>
        <v>❌ Off Track</v>
      </c>
    </row>
    <row r="60" spans="1:8">
      <c r="B60" s="80">
        <v>0</v>
      </c>
      <c r="C60" s="80">
        <v>0</v>
      </c>
      <c r="D60" s="80">
        <v>0</v>
      </c>
      <c r="E60" s="80">
        <v>0</v>
      </c>
      <c r="F60" s="81">
        <v>400</v>
      </c>
      <c r="G60" s="82">
        <f>IFERROR(SUM(B60:E60)/F60,0)</f>
        <v>0</v>
      </c>
      <c r="H60" s="80" t="str">
        <f>IF(G60&gt;=0.9,"✅ On Track",IF(G60&gt;=0.5,"⚠️ Behind","❌ Off Track"))</f>
        <v>❌ Off Track</v>
      </c>
    </row>
    <row r="61" spans="1:8" ht="17.25">
      <c r="A61" s="89" t="s">
        <v>601</v>
      </c>
      <c r="B61" s="90"/>
      <c r="C61" s="90"/>
      <c r="D61" s="90"/>
      <c r="E61" s="90"/>
      <c r="F61" s="91"/>
      <c r="G61" s="92"/>
      <c r="H61" s="90"/>
    </row>
    <row r="62" spans="1:8">
      <c r="A62" s="13" t="s">
        <v>213</v>
      </c>
      <c r="B62" s="50">
        <v>0</v>
      </c>
      <c r="C62" s="50">
        <v>0</v>
      </c>
      <c r="D62" s="50">
        <v>0</v>
      </c>
      <c r="E62" s="50">
        <v>0</v>
      </c>
      <c r="F62" s="59">
        <v>30</v>
      </c>
      <c r="G62" s="82">
        <f>IFERROR(SUM(B62:E62)/F62,0)</f>
        <v>0</v>
      </c>
      <c r="H62" s="80" t="str">
        <f>IF(G62&gt;=0.9,"✅ On Track",IF(G62&gt;=0.5,"⚠️ Behind","❌ Off Track"))</f>
        <v>❌ Off Track</v>
      </c>
    </row>
    <row r="63" spans="1:8">
      <c r="A63" s="6" t="s">
        <v>602</v>
      </c>
      <c r="B63" s="51">
        <v>0</v>
      </c>
      <c r="C63" s="51">
        <v>0</v>
      </c>
      <c r="D63" s="51">
        <v>0</v>
      </c>
      <c r="E63" s="51">
        <v>0</v>
      </c>
      <c r="F63" s="60">
        <v>80</v>
      </c>
      <c r="G63" s="82">
        <f>IFERROR(SUM(B63:E63)/F63,0)</f>
        <v>0</v>
      </c>
      <c r="H63" s="80" t="str">
        <f>IF(G63&gt;=0.9,"✅ On Track",IF(G63&gt;=0.5,"⚠️ Behind","❌ Off Track"))</f>
        <v>❌ Off Track</v>
      </c>
    </row>
    <row r="64" spans="1:8">
      <c r="A64" s="6" t="s">
        <v>603</v>
      </c>
      <c r="B64" s="51">
        <v>0</v>
      </c>
      <c r="C64" s="51">
        <v>0</v>
      </c>
      <c r="D64" s="51">
        <v>0</v>
      </c>
      <c r="E64" s="51">
        <v>0</v>
      </c>
      <c r="F64" s="60">
        <v>20</v>
      </c>
      <c r="G64" s="82">
        <f>IFERROR(SUM(B64:E64)/F64,0)</f>
        <v>0</v>
      </c>
      <c r="H64" s="80" t="str">
        <f>IF(G64&gt;=0.9,"✅ On Track",IF(G64&gt;=0.5,"⚠️ Behind","❌ Off Track"))</f>
        <v>❌ Off Track</v>
      </c>
    </row>
    <row r="65" spans="1:6">
      <c r="A65" s="6" t="s">
        <v>604</v>
      </c>
      <c r="B65" s="6"/>
      <c r="C65" s="6"/>
      <c r="D65" s="6"/>
      <c r="E65" s="6"/>
      <c r="F65" s="14" t="s">
        <v>605</v>
      </c>
    </row>
    <row r="66" spans="1:6">
      <c r="A66" s="6" t="s">
        <v>606</v>
      </c>
      <c r="B66" s="6"/>
      <c r="C66" s="6"/>
      <c r="D66" s="6"/>
      <c r="E66" s="6"/>
      <c r="F66" s="14" t="s">
        <v>607</v>
      </c>
    </row>
    <row r="67" spans="1:6">
      <c r="A67" s="6" t="s">
        <v>608</v>
      </c>
      <c r="B67" s="6"/>
      <c r="C67" s="6"/>
      <c r="D67" s="6"/>
      <c r="E67" s="6"/>
      <c r="F67" s="14" t="s">
        <v>609</v>
      </c>
    </row>
    <row r="68" spans="1:6">
      <c r="A68" s="6" t="s">
        <v>610</v>
      </c>
      <c r="B68" s="6"/>
      <c r="C68" s="6"/>
      <c r="D68" s="6"/>
      <c r="E68" s="6"/>
      <c r="F68" s="14" t="s">
        <v>611</v>
      </c>
    </row>
    <row r="69" spans="1:6">
      <c r="A69" s="7" t="s">
        <v>612</v>
      </c>
      <c r="B69" s="7"/>
      <c r="C69" s="7"/>
      <c r="D69" s="7"/>
      <c r="E69" s="7"/>
      <c r="F69" s="15" t="s">
        <v>613</v>
      </c>
    </row>
  </sheetData>
  <mergeCells count="10">
    <mergeCell ref="A1:H1"/>
    <mergeCell ref="A2:H2"/>
    <mergeCell ref="A4:H4"/>
    <mergeCell ref="A9:H9"/>
    <mergeCell ref="A16:H16"/>
    <mergeCell ref="A25:H25"/>
    <mergeCell ref="A34:H34"/>
    <mergeCell ref="A39:H39"/>
    <mergeCell ref="A50:H50"/>
    <mergeCell ref="A61:H6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55DDA-FABD-461D-AEE4-7CA62BEDF80A}">
  <dimension ref="A1:F76"/>
  <sheetViews>
    <sheetView topLeftCell="A94" workbookViewId="0">
      <selection sqref="A1:F2"/>
    </sheetView>
  </sheetViews>
  <sheetFormatPr defaultRowHeight="15"/>
  <cols>
    <col min="1" max="1" width="26.7109375" customWidth="1"/>
    <col min="2" max="2" width="76.140625" customWidth="1"/>
    <col min="3" max="4" width="34.28515625" customWidth="1"/>
    <col min="5" max="5" width="22.85546875" customWidth="1"/>
  </cols>
  <sheetData>
    <row r="1" spans="1:6">
      <c r="A1" s="101" t="s">
        <v>614</v>
      </c>
      <c r="B1" s="99"/>
      <c r="C1" s="99"/>
      <c r="D1" s="99"/>
      <c r="E1" s="99"/>
      <c r="F1" s="99"/>
    </row>
    <row r="2" spans="1:6">
      <c r="A2" s="102" t="s">
        <v>615</v>
      </c>
      <c r="B2" s="99"/>
      <c r="C2" s="99"/>
      <c r="D2" s="99"/>
      <c r="E2" s="99"/>
      <c r="F2" s="99"/>
    </row>
    <row r="3" spans="1:6">
      <c r="A3" s="83"/>
      <c r="B3" s="83"/>
      <c r="C3" s="83"/>
      <c r="D3" s="83"/>
      <c r="E3" s="83"/>
      <c r="F3" s="83"/>
    </row>
    <row r="4" spans="1:6">
      <c r="A4" s="103" t="s">
        <v>616</v>
      </c>
      <c r="B4" s="99"/>
      <c r="C4" s="99"/>
      <c r="D4" s="99"/>
      <c r="E4" s="99"/>
      <c r="F4" s="99"/>
    </row>
    <row r="5" spans="1:6">
      <c r="A5" s="22" t="s">
        <v>617</v>
      </c>
      <c r="B5" s="22" t="s">
        <v>618</v>
      </c>
      <c r="C5" s="22" t="s">
        <v>619</v>
      </c>
      <c r="D5" s="22" t="s">
        <v>620</v>
      </c>
      <c r="E5" s="22" t="s">
        <v>621</v>
      </c>
      <c r="F5" s="83"/>
    </row>
    <row r="6" spans="1:6" ht="16.5">
      <c r="A6" s="23" t="s">
        <v>622</v>
      </c>
      <c r="B6" s="23" t="s">
        <v>623</v>
      </c>
      <c r="C6" s="23" t="s">
        <v>624</v>
      </c>
      <c r="D6" s="23" t="s">
        <v>625</v>
      </c>
      <c r="E6" s="23" t="s">
        <v>626</v>
      </c>
      <c r="F6" s="83"/>
    </row>
    <row r="7" spans="1:6" ht="16.5">
      <c r="A7" s="23" t="s">
        <v>622</v>
      </c>
      <c r="B7" s="23" t="s">
        <v>627</v>
      </c>
      <c r="C7" s="23" t="s">
        <v>624</v>
      </c>
      <c r="D7" s="23" t="s">
        <v>628</v>
      </c>
      <c r="E7" s="23" t="s">
        <v>629</v>
      </c>
      <c r="F7" s="83"/>
    </row>
    <row r="8" spans="1:6" ht="16.5">
      <c r="A8" s="23" t="s">
        <v>622</v>
      </c>
      <c r="B8" s="23" t="s">
        <v>630</v>
      </c>
      <c r="C8" s="23" t="s">
        <v>624</v>
      </c>
      <c r="D8" s="23" t="s">
        <v>631</v>
      </c>
      <c r="E8" s="23" t="s">
        <v>632</v>
      </c>
      <c r="F8" s="83"/>
    </row>
    <row r="9" spans="1:6" ht="16.5">
      <c r="A9" s="23" t="s">
        <v>622</v>
      </c>
      <c r="B9" s="23" t="s">
        <v>633</v>
      </c>
      <c r="C9" s="23" t="s">
        <v>624</v>
      </c>
      <c r="D9" s="23" t="s">
        <v>634</v>
      </c>
      <c r="E9" s="23" t="s">
        <v>635</v>
      </c>
      <c r="F9" s="83"/>
    </row>
    <row r="10" spans="1:6" ht="16.5">
      <c r="A10" s="23" t="s">
        <v>636</v>
      </c>
      <c r="B10" s="23" t="s">
        <v>637</v>
      </c>
      <c r="C10" s="23" t="s">
        <v>638</v>
      </c>
      <c r="D10" s="23" t="s">
        <v>639</v>
      </c>
      <c r="E10" s="23" t="s">
        <v>640</v>
      </c>
      <c r="F10" s="83"/>
    </row>
    <row r="11" spans="1:6" ht="16.5">
      <c r="A11" s="23" t="s">
        <v>636</v>
      </c>
      <c r="B11" s="23" t="s">
        <v>641</v>
      </c>
      <c r="C11" s="23" t="s">
        <v>624</v>
      </c>
      <c r="D11" s="23" t="s">
        <v>642</v>
      </c>
      <c r="E11" s="23" t="s">
        <v>643</v>
      </c>
      <c r="F11" s="83"/>
    </row>
    <row r="12" spans="1:6" ht="16.5">
      <c r="A12" s="23" t="s">
        <v>636</v>
      </c>
      <c r="B12" s="23" t="s">
        <v>644</v>
      </c>
      <c r="C12" s="23" t="s">
        <v>645</v>
      </c>
      <c r="D12" s="23" t="s">
        <v>646</v>
      </c>
      <c r="E12" s="23" t="s">
        <v>647</v>
      </c>
      <c r="F12" s="83"/>
    </row>
    <row r="13" spans="1:6" ht="16.5">
      <c r="A13" s="23" t="s">
        <v>648</v>
      </c>
      <c r="B13" s="23" t="s">
        <v>649</v>
      </c>
      <c r="C13" s="23" t="s">
        <v>624</v>
      </c>
      <c r="D13" s="23" t="s">
        <v>628</v>
      </c>
      <c r="E13" s="23" t="s">
        <v>650</v>
      </c>
      <c r="F13" s="83"/>
    </row>
    <row r="14" spans="1:6" ht="16.5">
      <c r="A14" s="23" t="s">
        <v>648</v>
      </c>
      <c r="B14" s="23" t="s">
        <v>651</v>
      </c>
      <c r="C14" s="23" t="s">
        <v>624</v>
      </c>
      <c r="D14" s="23" t="s">
        <v>628</v>
      </c>
      <c r="E14" s="23" t="s">
        <v>652</v>
      </c>
      <c r="F14" s="83"/>
    </row>
    <row r="15" spans="1:6" ht="16.5">
      <c r="A15" s="23" t="s">
        <v>648</v>
      </c>
      <c r="B15" s="23" t="s">
        <v>653</v>
      </c>
      <c r="C15" s="23" t="s">
        <v>624</v>
      </c>
      <c r="D15" s="23" t="s">
        <v>642</v>
      </c>
      <c r="E15" s="23" t="s">
        <v>654</v>
      </c>
      <c r="F15" s="83"/>
    </row>
    <row r="16" spans="1:6" ht="16.5">
      <c r="A16" s="23" t="s">
        <v>655</v>
      </c>
      <c r="B16" s="23" t="s">
        <v>656</v>
      </c>
      <c r="C16" s="23" t="s">
        <v>624</v>
      </c>
      <c r="D16" s="23" t="s">
        <v>657</v>
      </c>
      <c r="E16" s="23" t="s">
        <v>658</v>
      </c>
      <c r="F16" s="83"/>
    </row>
    <row r="17" spans="1:6" ht="16.5">
      <c r="A17" s="23" t="s">
        <v>655</v>
      </c>
      <c r="B17" s="23" t="s">
        <v>659</v>
      </c>
      <c r="C17" s="23" t="s">
        <v>624</v>
      </c>
      <c r="D17" s="23" t="s">
        <v>657</v>
      </c>
      <c r="E17" s="23" t="s">
        <v>660</v>
      </c>
      <c r="F17" s="83"/>
    </row>
    <row r="18" spans="1:6" ht="16.5">
      <c r="A18" s="24" t="s">
        <v>655</v>
      </c>
      <c r="B18" s="24" t="s">
        <v>661</v>
      </c>
      <c r="C18" s="24" t="s">
        <v>624</v>
      </c>
      <c r="D18" s="24" t="s">
        <v>662</v>
      </c>
      <c r="E18" s="24" t="s">
        <v>663</v>
      </c>
      <c r="F18" s="83"/>
    </row>
    <row r="19" spans="1:6">
      <c r="A19" s="83"/>
      <c r="B19" s="83"/>
      <c r="C19" s="83"/>
      <c r="D19" s="83"/>
      <c r="E19" s="83"/>
      <c r="F19" s="83"/>
    </row>
    <row r="20" spans="1:6">
      <c r="A20" s="104" t="s">
        <v>664</v>
      </c>
      <c r="B20" s="99"/>
      <c r="C20" s="99"/>
      <c r="D20" s="99"/>
      <c r="E20" s="99"/>
      <c r="F20" s="99"/>
    </row>
    <row r="21" spans="1:6">
      <c r="A21" s="25" t="s">
        <v>617</v>
      </c>
      <c r="B21" s="25" t="s">
        <v>618</v>
      </c>
      <c r="C21" s="25" t="s">
        <v>665</v>
      </c>
      <c r="D21" s="25" t="s">
        <v>666</v>
      </c>
      <c r="E21" s="25" t="s">
        <v>667</v>
      </c>
      <c r="F21" s="83"/>
    </row>
    <row r="22" spans="1:6" ht="16.5">
      <c r="A22" s="26" t="s">
        <v>668</v>
      </c>
      <c r="B22" s="26" t="s">
        <v>669</v>
      </c>
      <c r="C22" s="26" t="s">
        <v>670</v>
      </c>
      <c r="D22" s="26" t="s">
        <v>671</v>
      </c>
      <c r="E22" s="26" t="s">
        <v>672</v>
      </c>
      <c r="F22" s="83"/>
    </row>
    <row r="23" spans="1:6" ht="16.5">
      <c r="A23" s="26" t="s">
        <v>668</v>
      </c>
      <c r="B23" s="26" t="s">
        <v>673</v>
      </c>
      <c r="C23" s="26" t="s">
        <v>674</v>
      </c>
      <c r="D23" s="26" t="s">
        <v>675</v>
      </c>
      <c r="E23" s="26" t="s">
        <v>676</v>
      </c>
      <c r="F23" s="83"/>
    </row>
    <row r="24" spans="1:6" ht="16.5">
      <c r="A24" s="26" t="s">
        <v>668</v>
      </c>
      <c r="B24" s="26" t="s">
        <v>677</v>
      </c>
      <c r="C24" s="26" t="s">
        <v>678</v>
      </c>
      <c r="D24" s="26" t="s">
        <v>679</v>
      </c>
      <c r="E24" s="26" t="s">
        <v>680</v>
      </c>
      <c r="F24" s="83"/>
    </row>
    <row r="25" spans="1:6" ht="16.5">
      <c r="A25" s="26" t="s">
        <v>668</v>
      </c>
      <c r="B25" s="26" t="s">
        <v>681</v>
      </c>
      <c r="C25" s="26" t="s">
        <v>682</v>
      </c>
      <c r="D25" s="26" t="s">
        <v>683</v>
      </c>
      <c r="E25" s="26" t="s">
        <v>684</v>
      </c>
      <c r="F25" s="83"/>
    </row>
    <row r="26" spans="1:6" ht="16.5">
      <c r="A26" s="26" t="s">
        <v>685</v>
      </c>
      <c r="B26" s="26" t="s">
        <v>686</v>
      </c>
      <c r="C26" s="26" t="s">
        <v>687</v>
      </c>
      <c r="D26" s="26" t="s">
        <v>688</v>
      </c>
      <c r="E26" s="26" t="s">
        <v>689</v>
      </c>
      <c r="F26" s="83"/>
    </row>
    <row r="27" spans="1:6" ht="16.5">
      <c r="A27" s="26" t="s">
        <v>685</v>
      </c>
      <c r="B27" s="26" t="s">
        <v>690</v>
      </c>
      <c r="C27" s="26" t="s">
        <v>691</v>
      </c>
      <c r="D27" s="26" t="s">
        <v>692</v>
      </c>
      <c r="E27" s="26" t="s">
        <v>693</v>
      </c>
      <c r="F27" s="83"/>
    </row>
    <row r="28" spans="1:6" ht="16.5">
      <c r="A28" s="26" t="s">
        <v>685</v>
      </c>
      <c r="B28" s="26" t="s">
        <v>694</v>
      </c>
      <c r="C28" s="26" t="s">
        <v>695</v>
      </c>
      <c r="D28" s="26" t="s">
        <v>696</v>
      </c>
      <c r="E28" s="26" t="s">
        <v>657</v>
      </c>
      <c r="F28" s="83"/>
    </row>
    <row r="29" spans="1:6" ht="16.5">
      <c r="A29" s="26" t="s">
        <v>685</v>
      </c>
      <c r="B29" s="26" t="s">
        <v>697</v>
      </c>
      <c r="C29" s="26" t="s">
        <v>698</v>
      </c>
      <c r="D29" s="26" t="s">
        <v>699</v>
      </c>
      <c r="E29" s="26" t="s">
        <v>700</v>
      </c>
      <c r="F29" s="83"/>
    </row>
    <row r="30" spans="1:6" ht="16.5">
      <c r="A30" s="26" t="s">
        <v>701</v>
      </c>
      <c r="B30" s="26" t="s">
        <v>702</v>
      </c>
      <c r="C30" s="26" t="s">
        <v>703</v>
      </c>
      <c r="D30" s="26" t="s">
        <v>704</v>
      </c>
      <c r="E30" s="26" t="s">
        <v>705</v>
      </c>
      <c r="F30" s="83"/>
    </row>
    <row r="31" spans="1:6" ht="16.5">
      <c r="A31" s="26" t="s">
        <v>701</v>
      </c>
      <c r="B31" s="26" t="s">
        <v>706</v>
      </c>
      <c r="C31" s="26" t="s">
        <v>707</v>
      </c>
      <c r="D31" s="26" t="s">
        <v>708</v>
      </c>
      <c r="E31" s="26" t="s">
        <v>709</v>
      </c>
      <c r="F31" s="83"/>
    </row>
    <row r="32" spans="1:6" ht="16.5">
      <c r="A32" s="26" t="s">
        <v>710</v>
      </c>
      <c r="B32" s="26" t="s">
        <v>711</v>
      </c>
      <c r="C32" s="26" t="s">
        <v>712</v>
      </c>
      <c r="D32" s="26" t="s">
        <v>713</v>
      </c>
      <c r="E32" s="26" t="s">
        <v>689</v>
      </c>
      <c r="F32" s="83"/>
    </row>
    <row r="33" spans="1:6" ht="16.5">
      <c r="A33" s="26" t="s">
        <v>710</v>
      </c>
      <c r="B33" s="26" t="s">
        <v>714</v>
      </c>
      <c r="C33" s="26" t="s">
        <v>715</v>
      </c>
      <c r="D33" s="26" t="s">
        <v>716</v>
      </c>
      <c r="E33" s="26" t="s">
        <v>700</v>
      </c>
      <c r="F33" s="83"/>
    </row>
    <row r="34" spans="1:6" ht="16.5">
      <c r="A34" s="26" t="s">
        <v>717</v>
      </c>
      <c r="B34" s="26" t="s">
        <v>718</v>
      </c>
      <c r="C34" s="26" t="s">
        <v>719</v>
      </c>
      <c r="D34" s="26" t="s">
        <v>720</v>
      </c>
      <c r="E34" s="26" t="s">
        <v>721</v>
      </c>
      <c r="F34" s="83"/>
    </row>
    <row r="35" spans="1:6" ht="16.5">
      <c r="A35" s="27" t="s">
        <v>717</v>
      </c>
      <c r="B35" s="27" t="s">
        <v>722</v>
      </c>
      <c r="C35" s="27" t="s">
        <v>723</v>
      </c>
      <c r="D35" s="27" t="s">
        <v>724</v>
      </c>
      <c r="E35" s="27" t="s">
        <v>725</v>
      </c>
      <c r="F35" s="83"/>
    </row>
    <row r="36" spans="1:6">
      <c r="A36" s="83"/>
      <c r="B36" s="83"/>
      <c r="C36" s="83"/>
      <c r="D36" s="83"/>
      <c r="E36" s="83"/>
      <c r="F36" s="83"/>
    </row>
    <row r="37" spans="1:6">
      <c r="A37" s="83"/>
      <c r="B37" s="83"/>
      <c r="C37" s="83"/>
      <c r="D37" s="83"/>
      <c r="E37" s="83"/>
      <c r="F37" s="83"/>
    </row>
    <row r="38" spans="1:6">
      <c r="A38" s="105" t="s">
        <v>726</v>
      </c>
      <c r="B38" s="99"/>
      <c r="C38" s="99"/>
      <c r="D38" s="99"/>
      <c r="E38" s="99"/>
      <c r="F38" s="99"/>
    </row>
    <row r="39" spans="1:6">
      <c r="A39" s="28" t="s">
        <v>727</v>
      </c>
      <c r="B39" s="28" t="s">
        <v>728</v>
      </c>
      <c r="C39" s="28" t="s">
        <v>729</v>
      </c>
      <c r="D39" s="28" t="s">
        <v>730</v>
      </c>
      <c r="E39" s="28" t="s">
        <v>731</v>
      </c>
      <c r="F39" s="28" t="s">
        <v>732</v>
      </c>
    </row>
    <row r="40" spans="1:6" ht="30.75">
      <c r="A40" s="29" t="s">
        <v>733</v>
      </c>
      <c r="B40" s="30">
        <v>0.33333333333333331</v>
      </c>
      <c r="C40" s="29" t="s">
        <v>734</v>
      </c>
      <c r="D40" s="29" t="s">
        <v>735</v>
      </c>
      <c r="E40" s="29" t="s">
        <v>736</v>
      </c>
      <c r="F40" s="29" t="s">
        <v>737</v>
      </c>
    </row>
    <row r="41" spans="1:6" ht="16.5">
      <c r="A41" s="29" t="s">
        <v>738</v>
      </c>
      <c r="B41" s="30">
        <v>0.35416666666666669</v>
      </c>
      <c r="C41" s="29" t="s">
        <v>739</v>
      </c>
      <c r="D41" s="29" t="s">
        <v>740</v>
      </c>
      <c r="E41" s="29" t="s">
        <v>741</v>
      </c>
      <c r="F41" s="29" t="s">
        <v>742</v>
      </c>
    </row>
    <row r="42" spans="1:6" ht="30.75">
      <c r="A42" s="29" t="s">
        <v>743</v>
      </c>
      <c r="B42" s="30">
        <v>0.375</v>
      </c>
      <c r="C42" s="29" t="s">
        <v>739</v>
      </c>
      <c r="D42" s="29" t="s">
        <v>744</v>
      </c>
      <c r="E42" s="29" t="s">
        <v>745</v>
      </c>
      <c r="F42" s="29" t="s">
        <v>746</v>
      </c>
    </row>
    <row r="43" spans="1:6" ht="30.75">
      <c r="A43" s="29" t="s">
        <v>747</v>
      </c>
      <c r="B43" s="30">
        <v>0.5</v>
      </c>
      <c r="C43" s="29" t="s">
        <v>739</v>
      </c>
      <c r="D43" s="29" t="s">
        <v>748</v>
      </c>
      <c r="E43" s="29" t="s">
        <v>60</v>
      </c>
      <c r="F43" s="29" t="s">
        <v>749</v>
      </c>
    </row>
    <row r="44" spans="1:6" ht="30.75">
      <c r="A44" s="29" t="s">
        <v>750</v>
      </c>
      <c r="B44" s="30">
        <v>0.625</v>
      </c>
      <c r="C44" s="29" t="s">
        <v>734</v>
      </c>
      <c r="D44" s="29" t="s">
        <v>751</v>
      </c>
      <c r="E44" s="29" t="s">
        <v>752</v>
      </c>
      <c r="F44" s="29" t="s">
        <v>753</v>
      </c>
    </row>
    <row r="45" spans="1:6" ht="30.75">
      <c r="A45" s="29" t="s">
        <v>754</v>
      </c>
      <c r="B45" s="30">
        <v>0.79166666666666663</v>
      </c>
      <c r="C45" s="29" t="s">
        <v>739</v>
      </c>
      <c r="D45" s="29" t="s">
        <v>755</v>
      </c>
      <c r="E45" s="29" t="s">
        <v>756</v>
      </c>
      <c r="F45" s="29" t="s">
        <v>757</v>
      </c>
    </row>
    <row r="46" spans="1:6" ht="30.75">
      <c r="A46" s="29" t="s">
        <v>758</v>
      </c>
      <c r="B46" s="30">
        <v>0.875</v>
      </c>
      <c r="C46" s="29" t="s">
        <v>739</v>
      </c>
      <c r="D46" s="29" t="s">
        <v>759</v>
      </c>
      <c r="E46" s="29" t="s">
        <v>760</v>
      </c>
      <c r="F46" s="29" t="s">
        <v>761</v>
      </c>
    </row>
    <row r="47" spans="1:6" ht="16.5">
      <c r="A47" s="31" t="s">
        <v>762</v>
      </c>
      <c r="B47" s="32">
        <v>0.91666666666666663</v>
      </c>
      <c r="C47" s="31" t="s">
        <v>734</v>
      </c>
      <c r="D47" s="31" t="s">
        <v>763</v>
      </c>
      <c r="E47" s="31" t="s">
        <v>764</v>
      </c>
      <c r="F47" s="31" t="s">
        <v>753</v>
      </c>
    </row>
    <row r="48" spans="1:6">
      <c r="A48" s="83"/>
      <c r="B48" s="83"/>
      <c r="C48" s="83"/>
      <c r="D48" s="83"/>
      <c r="E48" s="83"/>
      <c r="F48" s="83"/>
    </row>
    <row r="49" spans="1:6">
      <c r="A49" s="106" t="s">
        <v>765</v>
      </c>
      <c r="B49" s="99"/>
      <c r="C49" s="99"/>
      <c r="D49" s="99"/>
      <c r="E49" s="99"/>
      <c r="F49" s="99"/>
    </row>
    <row r="50" spans="1:6" ht="16.5">
      <c r="A50" s="33" t="s">
        <v>766</v>
      </c>
      <c r="B50" s="33" t="s">
        <v>0</v>
      </c>
      <c r="C50" s="33" t="s">
        <v>767</v>
      </c>
      <c r="D50" s="33" t="s">
        <v>768</v>
      </c>
      <c r="E50" s="83"/>
      <c r="F50" s="83"/>
    </row>
    <row r="51" spans="1:6" ht="30.75">
      <c r="A51" s="34" t="s">
        <v>769</v>
      </c>
      <c r="B51" s="34" t="s">
        <v>10</v>
      </c>
      <c r="C51" s="34" t="s">
        <v>770</v>
      </c>
      <c r="D51" s="34" t="s">
        <v>771</v>
      </c>
      <c r="E51" s="83"/>
      <c r="F51" s="83"/>
    </row>
    <row r="52" spans="1:6" ht="30.75">
      <c r="A52" s="34" t="s">
        <v>772</v>
      </c>
      <c r="B52" s="34" t="s">
        <v>237</v>
      </c>
      <c r="C52" s="34" t="s">
        <v>773</v>
      </c>
      <c r="D52" s="34" t="s">
        <v>774</v>
      </c>
      <c r="E52" s="83"/>
      <c r="F52" s="83"/>
    </row>
    <row r="53" spans="1:6" ht="30.75">
      <c r="A53" s="34" t="s">
        <v>775</v>
      </c>
      <c r="B53" s="34" t="s">
        <v>10</v>
      </c>
      <c r="C53" s="34" t="s">
        <v>776</v>
      </c>
      <c r="D53" s="34" t="s">
        <v>777</v>
      </c>
      <c r="E53" s="83"/>
      <c r="F53" s="83"/>
    </row>
    <row r="54" spans="1:6" ht="30.75">
      <c r="A54" s="34" t="s">
        <v>778</v>
      </c>
      <c r="B54" s="34" t="s">
        <v>779</v>
      </c>
      <c r="C54" s="34" t="s">
        <v>780</v>
      </c>
      <c r="D54" s="34" t="s">
        <v>781</v>
      </c>
      <c r="E54" s="83"/>
      <c r="F54" s="83"/>
    </row>
    <row r="55" spans="1:6" ht="30.75">
      <c r="A55" s="34" t="s">
        <v>782</v>
      </c>
      <c r="B55" s="34" t="s">
        <v>10</v>
      </c>
      <c r="C55" s="34" t="s">
        <v>783</v>
      </c>
      <c r="D55" s="34" t="s">
        <v>784</v>
      </c>
      <c r="E55" s="83"/>
      <c r="F55" s="83"/>
    </row>
    <row r="56" spans="1:6" ht="30.75">
      <c r="A56" s="35" t="s">
        <v>785</v>
      </c>
      <c r="B56" s="35" t="s">
        <v>779</v>
      </c>
      <c r="C56" s="35" t="s">
        <v>786</v>
      </c>
      <c r="D56" s="35" t="s">
        <v>787</v>
      </c>
      <c r="E56" s="83"/>
      <c r="F56" s="83"/>
    </row>
    <row r="57" spans="1:6">
      <c r="A57" s="83"/>
      <c r="B57" s="83"/>
      <c r="C57" s="83"/>
      <c r="D57" s="83"/>
      <c r="E57" s="83"/>
      <c r="F57" s="83"/>
    </row>
    <row r="58" spans="1:6">
      <c r="A58" s="83"/>
      <c r="B58" s="83"/>
      <c r="C58" s="83"/>
      <c r="D58" s="83"/>
      <c r="E58" s="83"/>
      <c r="F58" s="83"/>
    </row>
    <row r="59" spans="1:6">
      <c r="A59" s="98" t="s">
        <v>788</v>
      </c>
      <c r="B59" s="99"/>
      <c r="C59" s="99"/>
      <c r="D59" s="83"/>
      <c r="E59" s="83"/>
      <c r="F59" s="83"/>
    </row>
    <row r="60" spans="1:6">
      <c r="A60" s="36" t="s">
        <v>789</v>
      </c>
      <c r="B60" s="36" t="s">
        <v>790</v>
      </c>
      <c r="C60" s="36" t="s">
        <v>791</v>
      </c>
      <c r="D60" s="83"/>
      <c r="E60" s="83"/>
      <c r="F60" s="83"/>
    </row>
    <row r="61" spans="1:6" ht="30.75">
      <c r="A61" s="37" t="s">
        <v>792</v>
      </c>
      <c r="B61" s="37" t="s">
        <v>793</v>
      </c>
      <c r="C61" s="37" t="s">
        <v>794</v>
      </c>
      <c r="D61" s="83"/>
      <c r="E61" s="83"/>
      <c r="F61" s="83"/>
    </row>
    <row r="62" spans="1:6" ht="30.75">
      <c r="A62" s="37" t="s">
        <v>795</v>
      </c>
      <c r="B62" s="37" t="s">
        <v>796</v>
      </c>
      <c r="C62" s="37" t="s">
        <v>797</v>
      </c>
      <c r="D62" s="83"/>
      <c r="E62" s="83"/>
      <c r="F62" s="83"/>
    </row>
    <row r="63" spans="1:6" ht="30.75">
      <c r="A63" s="37" t="s">
        <v>798</v>
      </c>
      <c r="B63" s="37" t="s">
        <v>799</v>
      </c>
      <c r="C63" s="37" t="s">
        <v>800</v>
      </c>
      <c r="D63" s="83"/>
      <c r="E63" s="83"/>
      <c r="F63" s="83"/>
    </row>
    <row r="64" spans="1:6" ht="30.75">
      <c r="A64" s="37" t="s">
        <v>801</v>
      </c>
      <c r="B64" s="37" t="s">
        <v>802</v>
      </c>
      <c r="C64" s="37" t="s">
        <v>803</v>
      </c>
      <c r="D64" s="83"/>
      <c r="E64" s="83"/>
      <c r="F64" s="83"/>
    </row>
    <row r="65" spans="1:6" ht="30.75">
      <c r="A65" s="37" t="s">
        <v>804</v>
      </c>
      <c r="B65" s="37" t="s">
        <v>805</v>
      </c>
      <c r="C65" s="37" t="s">
        <v>806</v>
      </c>
      <c r="D65" s="83"/>
      <c r="E65" s="83"/>
      <c r="F65" s="83"/>
    </row>
    <row r="66" spans="1:6" ht="30.75">
      <c r="A66" s="37" t="s">
        <v>807</v>
      </c>
      <c r="B66" s="37" t="s">
        <v>808</v>
      </c>
      <c r="C66" s="37" t="s">
        <v>809</v>
      </c>
      <c r="D66" s="83"/>
      <c r="E66" s="83"/>
      <c r="F66" s="83"/>
    </row>
    <row r="67" spans="1:6" ht="30.75">
      <c r="A67" s="37" t="s">
        <v>810</v>
      </c>
      <c r="B67" s="37" t="s">
        <v>811</v>
      </c>
      <c r="C67" s="37" t="s">
        <v>812</v>
      </c>
      <c r="D67" s="83"/>
      <c r="E67" s="83"/>
      <c r="F67" s="83"/>
    </row>
    <row r="68" spans="1:6" ht="30.75">
      <c r="A68" s="37" t="s">
        <v>813</v>
      </c>
      <c r="B68" s="37" t="s">
        <v>814</v>
      </c>
      <c r="C68" s="37" t="s">
        <v>815</v>
      </c>
      <c r="D68" s="83"/>
      <c r="E68" s="83"/>
      <c r="F68" s="83"/>
    </row>
    <row r="69" spans="1:6">
      <c r="A69" s="38" t="s">
        <v>816</v>
      </c>
      <c r="B69" s="38" t="s">
        <v>817</v>
      </c>
      <c r="C69" s="38" t="s">
        <v>818</v>
      </c>
      <c r="D69" s="83"/>
      <c r="E69" s="83"/>
      <c r="F69" s="83"/>
    </row>
    <row r="70" spans="1:6">
      <c r="A70" s="83"/>
      <c r="B70" s="83"/>
      <c r="C70" s="83"/>
      <c r="D70" s="83"/>
      <c r="E70" s="83"/>
      <c r="F70" s="83"/>
    </row>
    <row r="71" spans="1:6">
      <c r="A71" s="100" t="s">
        <v>819</v>
      </c>
      <c r="B71" s="99"/>
      <c r="C71" s="99"/>
      <c r="D71" s="83"/>
      <c r="E71" s="83"/>
      <c r="F71" s="83"/>
    </row>
    <row r="72" spans="1:6">
      <c r="A72" s="83"/>
      <c r="B72" s="83"/>
      <c r="C72" s="83"/>
      <c r="D72" s="83"/>
      <c r="E72" s="83"/>
      <c r="F72" s="83"/>
    </row>
    <row r="73" spans="1:6" ht="16.5">
      <c r="A73" s="18" t="s">
        <v>820</v>
      </c>
      <c r="B73" s="19" t="s">
        <v>821</v>
      </c>
      <c r="C73" s="20" t="s">
        <v>822</v>
      </c>
      <c r="D73" s="83"/>
      <c r="E73" s="83"/>
      <c r="F73" s="83"/>
    </row>
    <row r="74" spans="1:6" ht="30.75">
      <c r="A74" s="21" t="s">
        <v>823</v>
      </c>
      <c r="B74" s="16" t="s">
        <v>824</v>
      </c>
      <c r="C74" s="17" t="s">
        <v>825</v>
      </c>
      <c r="D74" s="83"/>
      <c r="E74" s="83"/>
      <c r="F74" s="83"/>
    </row>
    <row r="75" spans="1:6" ht="30.75">
      <c r="A75" s="21" t="s">
        <v>826</v>
      </c>
      <c r="B75" s="16" t="s">
        <v>827</v>
      </c>
      <c r="C75" s="17" t="s">
        <v>828</v>
      </c>
      <c r="D75" s="83"/>
      <c r="E75" s="83"/>
      <c r="F75" s="83"/>
    </row>
    <row r="76" spans="1:6" ht="30.75">
      <c r="A76" s="21" t="s">
        <v>829</v>
      </c>
      <c r="B76" s="16" t="s">
        <v>830</v>
      </c>
      <c r="C76" s="17" t="s">
        <v>831</v>
      </c>
      <c r="D76" s="83"/>
      <c r="E76" s="83"/>
      <c r="F76" s="83"/>
    </row>
  </sheetData>
  <mergeCells count="8">
    <mergeCell ref="A59:C59"/>
    <mergeCell ref="A71:C71"/>
    <mergeCell ref="A1:F1"/>
    <mergeCell ref="A2:F2"/>
    <mergeCell ref="A4:F4"/>
    <mergeCell ref="A20:F20"/>
    <mergeCell ref="A38:F38"/>
    <mergeCell ref="A49:F49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1DF3E-0BD1-45D0-8247-D0B9242A9033}">
  <dimension ref="A1:F180"/>
  <sheetViews>
    <sheetView workbookViewId="0"/>
  </sheetViews>
  <sheetFormatPr defaultRowHeight="15"/>
  <cols>
    <col min="1" max="1" width="114.28515625" customWidth="1"/>
    <col min="6" max="6" width="22.85546875" customWidth="1"/>
  </cols>
  <sheetData>
    <row r="1" spans="1:6" ht="21">
      <c r="A1" s="93" t="s">
        <v>832</v>
      </c>
      <c r="B1" s="93"/>
      <c r="C1" s="93"/>
      <c r="D1" s="93"/>
      <c r="E1" s="93"/>
      <c r="F1" s="40" t="s">
        <v>833</v>
      </c>
    </row>
    <row r="2" spans="1:6">
      <c r="A2" s="108" t="s">
        <v>834</v>
      </c>
      <c r="B2" s="108"/>
      <c r="C2" s="108"/>
      <c r="D2" s="108"/>
      <c r="E2" s="108"/>
      <c r="F2" s="39" t="s">
        <v>835</v>
      </c>
    </row>
    <row r="3" spans="1:6">
      <c r="F3" s="39" t="s">
        <v>836</v>
      </c>
    </row>
    <row r="4" spans="1:6">
      <c r="A4" s="41" t="s">
        <v>837</v>
      </c>
      <c r="F4" s="39" t="s">
        <v>838</v>
      </c>
    </row>
    <row r="5" spans="1:6">
      <c r="A5" s="41"/>
    </row>
    <row r="6" spans="1:6">
      <c r="A6" s="41" t="s">
        <v>839</v>
      </c>
    </row>
    <row r="7" spans="1:6">
      <c r="A7" s="41" t="s">
        <v>840</v>
      </c>
    </row>
    <row r="8" spans="1:6">
      <c r="A8" s="41" t="s">
        <v>841</v>
      </c>
    </row>
    <row r="9" spans="1:6">
      <c r="A9" s="41"/>
    </row>
    <row r="10" spans="1:6">
      <c r="A10" s="41" t="s">
        <v>842</v>
      </c>
    </row>
    <row r="11" spans="1:6">
      <c r="A11" s="41" t="s">
        <v>843</v>
      </c>
    </row>
    <row r="12" spans="1:6">
      <c r="A12" s="41" t="s">
        <v>844</v>
      </c>
    </row>
    <row r="13" spans="1:6">
      <c r="A13" s="41"/>
    </row>
    <row r="14" spans="1:6">
      <c r="A14" s="41" t="s">
        <v>845</v>
      </c>
    </row>
    <row r="15" spans="1:6">
      <c r="A15" s="41" t="s">
        <v>846</v>
      </c>
    </row>
    <row r="16" spans="1:6">
      <c r="A16" s="41" t="s">
        <v>847</v>
      </c>
    </row>
    <row r="17" spans="1:1">
      <c r="A17" s="41"/>
    </row>
    <row r="18" spans="1:1">
      <c r="A18" s="41" t="s">
        <v>848</v>
      </c>
    </row>
    <row r="19" spans="1:1">
      <c r="A19" s="41" t="s">
        <v>849</v>
      </c>
    </row>
    <row r="20" spans="1:1">
      <c r="A20" s="41" t="s">
        <v>850</v>
      </c>
    </row>
    <row r="21" spans="1:1">
      <c r="A21" s="41" t="s">
        <v>851</v>
      </c>
    </row>
    <row r="22" spans="1:1">
      <c r="A22" s="41" t="s">
        <v>852</v>
      </c>
    </row>
    <row r="23" spans="1:1">
      <c r="A23" s="41" t="s">
        <v>853</v>
      </c>
    </row>
    <row r="24" spans="1:1">
      <c r="A24" s="41"/>
    </row>
    <row r="25" spans="1:1">
      <c r="A25" s="41" t="s">
        <v>854</v>
      </c>
    </row>
    <row r="26" spans="1:1">
      <c r="A26" s="41" t="s">
        <v>855</v>
      </c>
    </row>
    <row r="27" spans="1:1">
      <c r="A27" s="41" t="e" cm="1">
        <f t="array" aca="1" ref="A27" ca="1">- Write Discord intro messages</f>
        <v>#NAME?</v>
      </c>
    </row>
    <row r="28" spans="1:1">
      <c r="A28" s="41" t="e" cm="1">
        <f t="array" aca="1" ref="A28" ca="1">- Create discussion post ideas</f>
        <v>#NAME?</v>
      </c>
    </row>
    <row r="29" spans="1:1">
      <c r="A29" s="41" t="e" cm="1">
        <f t="array" aca="1" ref="A29" ca="1">- Generate response templates</f>
        <v>#NAME?</v>
      </c>
    </row>
    <row r="30" spans="1:1">
      <c r="A30" s="41" t="s">
        <v>856</v>
      </c>
    </row>
    <row r="31" spans="1:1">
      <c r="A31" s="41" t="e" cm="1">
        <f t="array" aca="1" ref="A31" ca="1">- Research best posting times</f>
        <v>#NAME?</v>
      </c>
    </row>
    <row r="32" spans="1:1">
      <c r="A32" s="41" t="e" cm="1">
        <f t="array" aca="1" ref="A32" ca="1">- Analyze what content performs well</f>
        <v>#NAME?</v>
      </c>
    </row>
    <row r="33" spans="1:1">
      <c r="A33" s="41" t="e" cm="1">
        <f t="array" aca="1" ref="A33" ca="1">- Create A/B test variations</f>
        <v>#NAME?</v>
      </c>
    </row>
    <row r="34" spans="1:1">
      <c r="A34" s="41"/>
    </row>
    <row r="35" spans="1:1">
      <c r="A35" s="41" t="s">
        <v>857</v>
      </c>
    </row>
    <row r="36" spans="1:1">
      <c r="A36" s="41" t="e" cm="1">
        <f t="array" aca="1" ref="A36" ca="1">- Never claim to post content directly</f>
        <v>#NAME?</v>
      </c>
    </row>
    <row r="37" spans="1:1">
      <c r="A37" s="41" t="e" cm="1">
        <f t="array" aca="1" ref="A37" ca="1">- Never ask _xludf.for login credentials</f>
        <v>#NAME?</v>
      </c>
    </row>
    <row r="38" spans="1:1">
      <c r="A38" s="41" t="e" cm="1">
        <f t="array" aca="1" ref="A38" ca="1">- Never Generate automated posting scripts</f>
        <v>#NAME?</v>
      </c>
    </row>
    <row r="39" spans="1:1">
      <c r="A39" s="41" t="e" cm="1">
        <f t="array" aca="1" ref="A39" ca="1">- Never Create vote manipulation content</f>
        <v>#NAME?</v>
      </c>
    </row>
    <row r="40" spans="1:1">
      <c r="A40" s="41" t="e" cm="1">
        <f t="array" aca="1" ref="A40" ca="1">- Never produce identical copy-paste spam</f>
        <v>#NAME?</v>
      </c>
    </row>
    <row r="41" spans="1:1">
      <c r="A41" s="41"/>
    </row>
    <row r="42" spans="1:1">
      <c r="A42" s="41" t="s">
        <v>858</v>
      </c>
    </row>
    <row r="43" spans="1:1">
      <c r="A43" s="41"/>
    </row>
    <row r="44" spans="1:1">
      <c r="A44" s="41" t="s">
        <v>859</v>
      </c>
    </row>
    <row r="45" spans="1:1">
      <c r="A45" s="41" t="s">
        <v>860</v>
      </c>
    </row>
    <row r="46" spans="1:1">
      <c r="A46" s="41" t="s">
        <v>861</v>
      </c>
    </row>
    <row r="47" spans="1:1">
      <c r="A47" s="41" t="s">
        <v>862</v>
      </c>
    </row>
    <row r="48" spans="1:1">
      <c r="A48" s="41" t="s">
        <v>863</v>
      </c>
    </row>
    <row r="49" spans="1:5">
      <c r="A49" s="41" t="s">
        <v>864</v>
      </c>
    </row>
    <row r="50" spans="1:5">
      <c r="A50" s="41"/>
    </row>
    <row r="51" spans="1:5">
      <c r="A51" s="41" t="s">
        <v>865</v>
      </c>
    </row>
    <row r="52" spans="1:5">
      <c r="A52" s="41" t="s">
        <v>866</v>
      </c>
    </row>
    <row r="53" spans="1:5">
      <c r="A53" s="41" t="s">
        <v>867</v>
      </c>
    </row>
    <row r="54" spans="1:5">
      <c r="A54" s="41" t="s">
        <v>868</v>
      </c>
    </row>
    <row r="55" spans="1:5">
      <c r="A55" s="41" t="s">
        <v>869</v>
      </c>
    </row>
    <row r="56" spans="1:5">
      <c r="A56" t="s">
        <v>870</v>
      </c>
    </row>
    <row r="57" spans="1:5" ht="21">
      <c r="A57" s="109" t="s">
        <v>871</v>
      </c>
      <c r="B57" s="109"/>
      <c r="C57" s="109"/>
      <c r="D57" s="109"/>
      <c r="E57" s="109"/>
    </row>
    <row r="58" spans="1:5">
      <c r="A58" s="110" t="s">
        <v>872</v>
      </c>
      <c r="B58" s="110"/>
      <c r="C58" s="110"/>
      <c r="D58" s="110"/>
      <c r="E58" s="110"/>
    </row>
    <row r="60" spans="1:5">
      <c r="A60" s="41" t="s">
        <v>873</v>
      </c>
    </row>
    <row r="61" spans="1:5">
      <c r="A61" s="41"/>
    </row>
    <row r="62" spans="1:5">
      <c r="A62" s="41" t="s">
        <v>874</v>
      </c>
    </row>
    <row r="63" spans="1:5">
      <c r="A63" s="41" t="s">
        <v>875</v>
      </c>
    </row>
    <row r="64" spans="1:5">
      <c r="A64" s="41" t="s">
        <v>876</v>
      </c>
    </row>
    <row r="65" spans="1:1">
      <c r="A65" s="41" t="s">
        <v>877</v>
      </c>
    </row>
    <row r="66" spans="1:1">
      <c r="A66" s="41" t="s">
        <v>878</v>
      </c>
    </row>
    <row r="67" spans="1:1">
      <c r="A67" s="41"/>
    </row>
    <row r="68" spans="1:1">
      <c r="A68" s="41" t="s">
        <v>879</v>
      </c>
    </row>
    <row r="69" spans="1:1">
      <c r="A69" s="41" t="s">
        <v>880</v>
      </c>
    </row>
    <row r="70" spans="1:1">
      <c r="A70" s="41" t="s">
        <v>881</v>
      </c>
    </row>
    <row r="71" spans="1:1">
      <c r="A71" s="41" t="s">
        <v>882</v>
      </c>
    </row>
    <row r="72" spans="1:1">
      <c r="A72" s="41" t="s">
        <v>883</v>
      </c>
    </row>
    <row r="73" spans="1:1">
      <c r="A73" s="41"/>
    </row>
    <row r="74" spans="1:1">
      <c r="A74" s="41" t="s">
        <v>884</v>
      </c>
    </row>
    <row r="75" spans="1:1">
      <c r="A75" s="41" t="s">
        <v>885</v>
      </c>
    </row>
    <row r="76" spans="1:1">
      <c r="A76" s="41" t="s">
        <v>886</v>
      </c>
    </row>
    <row r="77" spans="1:1">
      <c r="A77" s="41" t="s">
        <v>887</v>
      </c>
    </row>
    <row r="78" spans="1:1">
      <c r="A78" s="41" t="s">
        <v>888</v>
      </c>
    </row>
    <row r="79" spans="1:1">
      <c r="A79" s="41"/>
    </row>
    <row r="80" spans="1:1">
      <c r="A80" s="41" t="s">
        <v>889</v>
      </c>
    </row>
    <row r="81" spans="1:1">
      <c r="A81" s="41" t="s">
        <v>890</v>
      </c>
    </row>
    <row r="82" spans="1:1">
      <c r="A82" s="41" t="s">
        <v>891</v>
      </c>
    </row>
    <row r="83" spans="1:1">
      <c r="A83" s="41" t="s">
        <v>892</v>
      </c>
    </row>
    <row r="84" spans="1:1">
      <c r="A84" s="41" t="s">
        <v>893</v>
      </c>
    </row>
    <row r="85" spans="1:1">
      <c r="A85" s="41"/>
    </row>
    <row r="86" spans="1:1">
      <c r="A86" s="41" t="s">
        <v>894</v>
      </c>
    </row>
    <row r="87" spans="1:1">
      <c r="A87" s="41" t="s">
        <v>895</v>
      </c>
    </row>
    <row r="88" spans="1:1">
      <c r="A88" s="41" t="s">
        <v>896</v>
      </c>
    </row>
    <row r="89" spans="1:1">
      <c r="A89" s="41" t="s">
        <v>897</v>
      </c>
    </row>
    <row r="90" spans="1:1">
      <c r="A90" s="41" t="s">
        <v>898</v>
      </c>
    </row>
    <row r="91" spans="1:1">
      <c r="A91" s="41"/>
    </row>
    <row r="92" spans="1:1">
      <c r="A92" s="41" t="s">
        <v>899</v>
      </c>
    </row>
    <row r="93" spans="1:1">
      <c r="A93" s="41" t="s">
        <v>900</v>
      </c>
    </row>
    <row r="94" spans="1:1">
      <c r="A94" s="41" t="s">
        <v>901</v>
      </c>
    </row>
    <row r="95" spans="1:1">
      <c r="A95" s="41" t="s">
        <v>902</v>
      </c>
    </row>
    <row r="96" spans="1:1">
      <c r="A96" s="41" t="s">
        <v>903</v>
      </c>
    </row>
    <row r="97" spans="1:5">
      <c r="A97" s="41"/>
    </row>
    <row r="98" spans="1:5">
      <c r="A98" s="41" t="s">
        <v>904</v>
      </c>
    </row>
    <row r="99" spans="1:5">
      <c r="A99" s="41" t="s">
        <v>905</v>
      </c>
    </row>
    <row r="100" spans="1:5">
      <c r="A100" s="41" t="s">
        <v>906</v>
      </c>
    </row>
    <row r="101" spans="1:5">
      <c r="A101" s="41" t="s">
        <v>907</v>
      </c>
    </row>
    <row r="102" spans="1:5">
      <c r="A102" s="41" t="s">
        <v>908</v>
      </c>
    </row>
    <row r="103" spans="1:5">
      <c r="A103" s="41"/>
    </row>
    <row r="104" spans="1:5">
      <c r="A104" s="41" t="s">
        <v>909</v>
      </c>
    </row>
    <row r="105" spans="1:5" ht="21">
      <c r="A105" s="111" t="s">
        <v>910</v>
      </c>
      <c r="B105" s="111"/>
      <c r="C105" s="111"/>
      <c r="D105" s="111"/>
      <c r="E105" s="111"/>
    </row>
    <row r="106" spans="1:5">
      <c r="A106" s="107" t="s">
        <v>911</v>
      </c>
      <c r="B106" s="107"/>
      <c r="C106" s="107"/>
      <c r="D106" s="107"/>
      <c r="E106" s="107"/>
    </row>
    <row r="108" spans="1:5">
      <c r="A108" s="41" t="s">
        <v>912</v>
      </c>
    </row>
    <row r="109" spans="1:5">
      <c r="A109" s="41"/>
    </row>
    <row r="110" spans="1:5">
      <c r="A110" s="41" t="s">
        <v>913</v>
      </c>
    </row>
    <row r="111" spans="1:5">
      <c r="A111" s="41"/>
    </row>
    <row r="112" spans="1:5">
      <c r="A112" s="41" t="s">
        <v>914</v>
      </c>
    </row>
    <row r="113" spans="1:1">
      <c r="A113" s="41" t="s">
        <v>915</v>
      </c>
    </row>
    <row r="114" spans="1:1">
      <c r="A114" s="41" t="s">
        <v>916</v>
      </c>
    </row>
    <row r="115" spans="1:1">
      <c r="A115" s="41" t="s">
        <v>917</v>
      </c>
    </row>
    <row r="116" spans="1:1">
      <c r="A116" s="41" t="s">
        <v>918</v>
      </c>
    </row>
    <row r="117" spans="1:1">
      <c r="A117" s="41" t="s">
        <v>919</v>
      </c>
    </row>
    <row r="118" spans="1:1">
      <c r="A118" s="41"/>
    </row>
    <row r="119" spans="1:1">
      <c r="A119" s="41" t="s">
        <v>920</v>
      </c>
    </row>
    <row r="120" spans="1:1">
      <c r="A120" s="41"/>
    </row>
    <row r="121" spans="1:1">
      <c r="A121" s="41" t="s">
        <v>921</v>
      </c>
    </row>
    <row r="122" spans="1:1">
      <c r="A122" s="41" t="s">
        <v>922</v>
      </c>
    </row>
    <row r="123" spans="1:1">
      <c r="A123" s="41" t="s">
        <v>923</v>
      </c>
    </row>
    <row r="124" spans="1:1">
      <c r="A124" s="41" t="s">
        <v>924</v>
      </c>
    </row>
    <row r="125" spans="1:1">
      <c r="A125" s="41" t="s">
        <v>925</v>
      </c>
    </row>
    <row r="126" spans="1:1">
      <c r="A126" s="41" t="s">
        <v>926</v>
      </c>
    </row>
    <row r="127" spans="1:1">
      <c r="A127" s="41" t="s">
        <v>927</v>
      </c>
    </row>
    <row r="128" spans="1:1">
      <c r="A128" s="41" t="s">
        <v>928</v>
      </c>
    </row>
    <row r="129" spans="1:1">
      <c r="A129" s="41" t="s">
        <v>929</v>
      </c>
    </row>
    <row r="130" spans="1:1">
      <c r="A130" s="41"/>
    </row>
    <row r="131" spans="1:1">
      <c r="A131" s="41" t="s">
        <v>930</v>
      </c>
    </row>
    <row r="132" spans="1:1">
      <c r="A132" s="41"/>
    </row>
    <row r="133" spans="1:1">
      <c r="A133" s="41" t="s">
        <v>931</v>
      </c>
    </row>
    <row r="134" spans="1:1">
      <c r="A134" s="41" t="s">
        <v>932</v>
      </c>
    </row>
    <row r="135" spans="1:1">
      <c r="A135" s="41" t="s">
        <v>933</v>
      </c>
    </row>
    <row r="136" spans="1:1">
      <c r="A136" s="41" t="s">
        <v>934</v>
      </c>
    </row>
    <row r="137" spans="1:1">
      <c r="A137" s="41"/>
    </row>
    <row r="138" spans="1:1">
      <c r="A138" s="41" t="s">
        <v>935</v>
      </c>
    </row>
    <row r="139" spans="1:1">
      <c r="A139" s="41" t="s">
        <v>936</v>
      </c>
    </row>
    <row r="140" spans="1:1">
      <c r="A140" s="41" t="s">
        <v>937</v>
      </c>
    </row>
    <row r="141" spans="1:1">
      <c r="A141" s="41" t="s">
        <v>938</v>
      </c>
    </row>
    <row r="142" spans="1:1">
      <c r="A142" s="41"/>
    </row>
    <row r="143" spans="1:1">
      <c r="A143" s="41" t="s">
        <v>939</v>
      </c>
    </row>
    <row r="144" spans="1:1">
      <c r="A144" s="41" t="s">
        <v>940</v>
      </c>
    </row>
    <row r="145" spans="1:1">
      <c r="A145" s="41" t="s">
        <v>941</v>
      </c>
    </row>
    <row r="146" spans="1:1">
      <c r="A146" s="41"/>
    </row>
    <row r="147" spans="1:1">
      <c r="A147" s="41" t="s">
        <v>942</v>
      </c>
    </row>
    <row r="148" spans="1:1">
      <c r="A148" s="41" t="s">
        <v>943</v>
      </c>
    </row>
    <row r="149" spans="1:1">
      <c r="A149" s="41" t="s">
        <v>944</v>
      </c>
    </row>
    <row r="150" spans="1:1">
      <c r="A150" s="41"/>
    </row>
    <row r="151" spans="1:1">
      <c r="A151" s="41" t="s">
        <v>945</v>
      </c>
    </row>
    <row r="152" spans="1:1">
      <c r="A152" s="41" t="s">
        <v>946</v>
      </c>
    </row>
    <row r="153" spans="1:1">
      <c r="A153" s="41" t="s">
        <v>947</v>
      </c>
    </row>
    <row r="154" spans="1:1">
      <c r="A154" s="41"/>
    </row>
    <row r="155" spans="1:1">
      <c r="A155" s="41" t="s">
        <v>948</v>
      </c>
    </row>
    <row r="156" spans="1:1">
      <c r="A156" s="41"/>
    </row>
    <row r="157" spans="1:1">
      <c r="A157" s="41" t="s">
        <v>949</v>
      </c>
    </row>
    <row r="158" spans="1:1">
      <c r="A158" s="41" t="s">
        <v>950</v>
      </c>
    </row>
    <row r="159" spans="1:1">
      <c r="A159" s="41" t="e" cm="1">
        <f t="array" aca="1" ref="A159" ca="1">- Research communities         - Logging into accounts</f>
        <v>#NAME?</v>
      </c>
    </row>
    <row r="160" spans="1:1">
      <c r="A160" s="41" t="e" cm="1">
        <f t="array" aca="1" ref="A160" ca="1">- Generate variations          - Upvoting/reacting</f>
        <v>#NAME?</v>
      </c>
    </row>
    <row r="161" spans="1:1">
      <c r="A161" s="41" t="e" cm="1">
        <f t="array" aca="1" ref="A161" ca="1">- Polish your writing          - Voice chats</f>
        <v>#NAME?</v>
      </c>
    </row>
    <row r="162" spans="1:1">
      <c r="A162" s="41" t="e" cm="1">
        <f t="array" aca="1" ref="A162" ca="1">- Plan your calendar           - DM conversations</f>
        <v>#NAME?</v>
      </c>
    </row>
    <row r="163" spans="1:1">
      <c r="A163" s="41" t="s">
        <v>951</v>
      </c>
    </row>
    <row r="164" spans="1:1">
      <c r="A164" s="41"/>
    </row>
    <row r="165" spans="1:1">
      <c r="A165" s="41" t="s">
        <v>952</v>
      </c>
    </row>
    <row r="166" spans="1:1">
      <c r="A166" s="41" t="e" cm="1">
        <f t="array" aca="1" ref="A166" ca="1">- comments posted: ___</f>
        <v>#NAME?</v>
      </c>
    </row>
    <row r="167" spans="1:1">
      <c r="A167" s="41" t="s">
        <v>953</v>
      </c>
    </row>
    <row r="168" spans="1:1">
      <c r="A168" s="41" t="e" cm="1">
        <f t="array" aca="1" ref="A168" ca="1">- DMs sent: ___</f>
        <v>#NAME?</v>
      </c>
    </row>
    <row r="169" spans="1:1">
      <c r="A169" s="41" t="e" cm="1">
        <f t="array" aca="1" ref="A169" ca="1">- App signups from Reddit: ___</f>
        <v>#NAME?</v>
      </c>
    </row>
    <row r="170" spans="1:1">
      <c r="A170" s="41" t="e" cm="1">
        <f t="array" aca="1" ref="A170" ca="1">- Discord connections made: ___</f>
        <v>#NAME?</v>
      </c>
    </row>
    <row r="171" spans="1:1">
      <c r="A171" s="41"/>
    </row>
    <row r="172" spans="1:1">
      <c r="A172" s="41" t="s">
        <v>954</v>
      </c>
    </row>
    <row r="173" spans="1:1">
      <c r="A173" s="41"/>
    </row>
    <row r="174" spans="1:1">
      <c r="A174" s="41" t="s">
        <v>955</v>
      </c>
    </row>
    <row r="175" spans="1:1">
      <c r="A175" s="41" t="s">
        <v>956</v>
      </c>
    </row>
    <row r="176" spans="1:1">
      <c r="A176" s="41" t="s">
        <v>957</v>
      </c>
    </row>
    <row r="177" spans="1:1">
      <c r="A177" s="41"/>
    </row>
    <row r="178" spans="1:1">
      <c r="A178" s="41" t="s">
        <v>958</v>
      </c>
    </row>
    <row r="179" spans="1:1">
      <c r="A179" s="41"/>
    </row>
    <row r="180" spans="1:1">
      <c r="A180" s="41" t="s">
        <v>959</v>
      </c>
    </row>
  </sheetData>
  <mergeCells count="6">
    <mergeCell ref="A106:E106"/>
    <mergeCell ref="A1:E1"/>
    <mergeCell ref="A2:E2"/>
    <mergeCell ref="A57:E57"/>
    <mergeCell ref="A58:E58"/>
    <mergeCell ref="A105:E10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Josh Coleman</cp:lastModifiedBy>
  <cp:revision/>
  <dcterms:created xsi:type="dcterms:W3CDTF">2026-04-03T07:23:14Z</dcterms:created>
  <dcterms:modified xsi:type="dcterms:W3CDTF">2026-04-16T23:12:10Z</dcterms:modified>
  <cp:category/>
  <cp:contentStatus/>
</cp:coreProperties>
</file>