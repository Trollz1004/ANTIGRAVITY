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nthly Model" sheetId="2" state="visible" r:id="rId2"/>
    <sheet name="Sensitivity" sheetId="3" state="visible" r:id="rId3"/>
    <sheet name="Summary" sheetId="4" state="visible" r:id="rId4"/>
    <sheet name="Source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4" borderId="1" pivotButton="0" quotePrefix="0" xfId="0"/>
    <xf numFmtId="164" fontId="0" fillId="4" borderId="1" pivotButton="0" quotePrefix="0" xfId="0"/>
    <xf numFmtId="167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by scenario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Model'!$C$24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Model'!$D$24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Model'!$E$24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Model'!$F$24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Model'!$G$24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Model'!$H$24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Model'!$I$24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Model'!$J$24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Model'!$K$24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Model'!$L$24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Model'!$M$24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Model'!$N$24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Model'!$O$24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Model'!$P$24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Model'!$Q$24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Model'!$R$24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Model'!$S$24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Model'!$T$24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Model'!$U$24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Model'!$V$24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Model'!$W$24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Model'!$X$24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Model'!$Y$24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Model'!$Z$24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Model'!$AA$24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Model'!$AB$24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Model'!$AC$24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Model'!$AD$24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Model'!$AE$24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Model'!$AF$24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Model'!$AG$24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Model'!$AH$24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Model'!$AI$24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Model'!$AJ$24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Model'!$AK$24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Model'!$AL$24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Model'!$C$49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Model'!$D$49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Model'!$E$49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Model'!$F$49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Model'!$G$49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Model'!$H$49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Model'!$I$49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Model'!$J$49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Model'!$K$49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Model'!$L$49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Model'!$M$49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Model'!$N$49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Model'!$O$49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Model'!$P$49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Model'!$Q$49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Model'!$R$49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Model'!$S$49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Model'!$T$49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Model'!$U$49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Model'!$V$49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Model'!$W$49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Model'!$X$49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Model'!$Y$49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Model'!$Z$49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Model'!$AA$49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Model'!$AB$49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Model'!$AC$49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Model'!$AD$49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Model'!$AE$49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Model'!$AF$49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Model'!$AG$49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Model'!$AH$49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Model'!$AI$49</f>
            </numRef>
          </val>
        </ser>
        <ser>
          <idx val="69"/>
          <order val="6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Model'!$AJ$49</f>
            </numRef>
          </val>
        </ser>
        <ser>
          <idx val="70"/>
          <order val="7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Model'!$AK$49</f>
            </numRef>
          </val>
        </ser>
        <ser>
          <idx val="71"/>
          <order val="7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Model'!$AL$49</f>
            </numRef>
          </val>
        </ser>
        <ser>
          <idx val="72"/>
          <order val="7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Model'!$C$74</f>
            </numRef>
          </val>
        </ser>
        <ser>
          <idx val="73"/>
          <order val="7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Model'!$D$74</f>
            </numRef>
          </val>
        </ser>
        <ser>
          <idx val="74"/>
          <order val="7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Model'!$E$74</f>
            </numRef>
          </val>
        </ser>
        <ser>
          <idx val="75"/>
          <order val="7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Model'!$F$74</f>
            </numRef>
          </val>
        </ser>
        <ser>
          <idx val="76"/>
          <order val="7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Model'!$G$74</f>
            </numRef>
          </val>
        </ser>
        <ser>
          <idx val="77"/>
          <order val="7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Model'!$H$74</f>
            </numRef>
          </val>
        </ser>
        <ser>
          <idx val="78"/>
          <order val="7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Model'!$I$74</f>
            </numRef>
          </val>
        </ser>
        <ser>
          <idx val="79"/>
          <order val="7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Model'!$J$74</f>
            </numRef>
          </val>
        </ser>
        <ser>
          <idx val="80"/>
          <order val="8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Model'!$K$74</f>
            </numRef>
          </val>
        </ser>
        <ser>
          <idx val="81"/>
          <order val="8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Model'!$L$74</f>
            </numRef>
          </val>
        </ser>
        <ser>
          <idx val="82"/>
          <order val="8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Model'!$M$74</f>
            </numRef>
          </val>
        </ser>
        <ser>
          <idx val="83"/>
          <order val="8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Model'!$N$74</f>
            </numRef>
          </val>
        </ser>
        <ser>
          <idx val="84"/>
          <order val="8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Model'!$O$74</f>
            </numRef>
          </val>
        </ser>
        <ser>
          <idx val="85"/>
          <order val="8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Model'!$P$74</f>
            </numRef>
          </val>
        </ser>
        <ser>
          <idx val="86"/>
          <order val="8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Model'!$Q$74</f>
            </numRef>
          </val>
        </ser>
        <ser>
          <idx val="87"/>
          <order val="8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Model'!$R$74</f>
            </numRef>
          </val>
        </ser>
        <ser>
          <idx val="88"/>
          <order val="8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Model'!$S$74</f>
            </numRef>
          </val>
        </ser>
        <ser>
          <idx val="89"/>
          <order val="8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Model'!$T$74</f>
            </numRef>
          </val>
        </ser>
        <ser>
          <idx val="90"/>
          <order val="9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Model'!$U$74</f>
            </numRef>
          </val>
        </ser>
        <ser>
          <idx val="91"/>
          <order val="9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Model'!$V$74</f>
            </numRef>
          </val>
        </ser>
        <ser>
          <idx val="92"/>
          <order val="9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Model'!$W$74</f>
            </numRef>
          </val>
        </ser>
        <ser>
          <idx val="93"/>
          <order val="9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Model'!$X$74</f>
            </numRef>
          </val>
        </ser>
        <ser>
          <idx val="94"/>
          <order val="9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Model'!$Y$74</f>
            </numRef>
          </val>
        </ser>
        <ser>
          <idx val="95"/>
          <order val="9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Model'!$Z$74</f>
            </numRef>
          </val>
        </ser>
        <ser>
          <idx val="96"/>
          <order val="9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Model'!$AA$74</f>
            </numRef>
          </val>
        </ser>
        <ser>
          <idx val="97"/>
          <order val="9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Model'!$AB$74</f>
            </numRef>
          </val>
        </ser>
        <ser>
          <idx val="98"/>
          <order val="9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Model'!$AC$74</f>
            </numRef>
          </val>
        </ser>
        <ser>
          <idx val="99"/>
          <order val="9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Model'!$AD$74</f>
            </numRef>
          </val>
        </ser>
        <ser>
          <idx val="100"/>
          <order val="10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Model'!$AE$74</f>
            </numRef>
          </val>
        </ser>
        <ser>
          <idx val="101"/>
          <order val="10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Model'!$AF$74</f>
            </numRef>
          </val>
        </ser>
        <ser>
          <idx val="102"/>
          <order val="10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Model'!$AG$74</f>
            </numRef>
          </val>
        </ser>
        <ser>
          <idx val="103"/>
          <order val="10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Model'!$AH$74</f>
            </numRef>
          </val>
        </ser>
        <ser>
          <idx val="104"/>
          <order val="10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Model'!$AI$74</f>
            </numRef>
          </val>
        </ser>
        <ser>
          <idx val="105"/>
          <order val="10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Model'!$AJ$74</f>
            </numRef>
          </val>
        </ser>
        <ser>
          <idx val="106"/>
          <order val="10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Model'!$AK$74</f>
            </numRef>
          </val>
        </ser>
        <ser>
          <idx val="107"/>
          <order val="10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Model'!$C$1:$AL$1</f>
            </numRef>
          </cat>
          <val>
            <numRef>
              <f>'Monthly Model'!$AL$74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8" customWidth="1" min="4" max="4"/>
    <col width="15" customWidth="1" min="5" max="5"/>
    <col width="15" customWidth="1" min="6" max="6"/>
    <col width="15" customWidth="1" min="7" max="7"/>
    <col width="78" customWidth="1" min="8" max="8"/>
  </cols>
  <sheetData>
    <row r="1">
      <c r="A1" s="1" t="inlineStr">
        <is>
          <t>Key</t>
        </is>
      </c>
      <c r="B1" s="1" t="inlineStr">
        <is>
          <t>Category</t>
        </is>
      </c>
      <c r="C1" s="1" t="inlineStr">
        <is>
          <t>Assumption</t>
        </is>
      </c>
      <c r="D1" s="1" t="inlineStr">
        <is>
          <t>Unit</t>
        </is>
      </c>
      <c r="E1" s="1" t="inlineStr">
        <is>
          <t>Conservative</t>
        </is>
      </c>
      <c r="F1" s="1" t="inlineStr">
        <is>
          <t>Base</t>
        </is>
      </c>
      <c r="G1" s="1" t="inlineStr">
        <is>
          <t>Optimistic</t>
        </is>
      </c>
      <c r="H1" s="1" t="inlineStr">
        <is>
          <t>Notes / source</t>
        </is>
      </c>
    </row>
    <row r="2">
      <c r="A2" s="2" t="inlineStr">
        <is>
          <t>starting_cash</t>
        </is>
      </c>
      <c r="B2" s="2" t="inlineStr">
        <is>
          <t>Funding</t>
        </is>
      </c>
      <c r="C2" s="2" t="inlineStr">
        <is>
          <t>Starting cash balance</t>
        </is>
      </c>
      <c r="D2" s="2" t="inlineStr">
        <is>
          <t>$</t>
        </is>
      </c>
      <c r="E2" s="3" t="n">
        <v>10000</v>
      </c>
      <c r="F2" s="3" t="n">
        <v>25000</v>
      </c>
      <c r="G2" s="3" t="n">
        <v>50000</v>
      </c>
      <c r="H2" s="2" t="inlineStr">
        <is>
          <t>Cash available at model start; scenario planning assumption.</t>
        </is>
      </c>
    </row>
    <row r="3">
      <c r="A3" s="2" t="inlineStr">
        <is>
          <t>launch_active_users</t>
        </is>
      </c>
      <c r="B3" s="2" t="inlineStr">
        <is>
          <t>Revenue - membership</t>
        </is>
      </c>
      <c r="C3" s="2" t="inlineStr">
        <is>
          <t>Month 1 active users</t>
        </is>
      </c>
      <c r="D3" s="2" t="inlineStr">
        <is>
          <t>users</t>
        </is>
      </c>
      <c r="E3" s="4" t="n">
        <v>50</v>
      </c>
      <c r="F3" s="4" t="n">
        <v>150</v>
      </c>
      <c r="G3" s="4" t="n">
        <v>300</v>
      </c>
      <c r="H3" s="2" t="inlineStr">
        <is>
          <t>Driven by docs/strategy/growth-playbook.md community launch actions.</t>
        </is>
      </c>
    </row>
    <row r="4">
      <c r="A4" s="2" t="inlineStr">
        <is>
          <t>monthly_active_growth</t>
        </is>
      </c>
      <c r="B4" s="2" t="inlineStr">
        <is>
          <t>Revenue - membership</t>
        </is>
      </c>
      <c r="C4" s="2" t="inlineStr">
        <is>
          <t>Monthly active-user growth</t>
        </is>
      </c>
      <c r="D4" s="2" t="inlineStr">
        <is>
          <t>%</t>
        </is>
      </c>
      <c r="E4" s="5" t="n">
        <v>0.08</v>
      </c>
      <c r="F4" s="5" t="n">
        <v>0.15</v>
      </c>
      <c r="G4" s="5" t="n">
        <v>0.22</v>
      </c>
      <c r="H4" s="2" t="inlineStr">
        <is>
          <t>Three distinct trajectories from CMO community growth playbook paths.</t>
        </is>
      </c>
    </row>
    <row r="5">
      <c r="A5" s="2" t="inlineStr">
        <is>
          <t>paid_conversion</t>
        </is>
      </c>
      <c r="B5" s="2" t="inlineStr">
        <is>
          <t>Revenue - membership</t>
        </is>
      </c>
      <c r="C5" s="2" t="inlineStr">
        <is>
          <t>Paid conversion rate</t>
        </is>
      </c>
      <c r="D5" s="2" t="inlineStr">
        <is>
          <t>%</t>
        </is>
      </c>
      <c r="E5" s="5" t="n">
        <v>0.04</v>
      </c>
      <c r="F5" s="5" t="n">
        <v>0.07000000000000001</v>
      </c>
      <c r="G5" s="5" t="n">
        <v>0.1</v>
      </c>
      <c r="H5" s="2" t="inlineStr">
        <is>
          <t>Membership, verification, safety, access value per AGENTS.md/agent.md.</t>
        </is>
      </c>
    </row>
    <row r="6">
      <c r="A6" s="2" t="inlineStr">
        <is>
          <t>monthly_subscription_price</t>
        </is>
      </c>
      <c r="B6" s="2" t="inlineStr">
        <is>
          <t>Revenue - membership</t>
        </is>
      </c>
      <c r="C6" s="2" t="inlineStr">
        <is>
          <t>Average monthly paid membership price</t>
        </is>
      </c>
      <c r="D6" s="2" t="inlineStr">
        <is>
          <t>$/paid member</t>
        </is>
      </c>
      <c r="E6" s="3" t="n">
        <v>9</v>
      </c>
      <c r="F6" s="3" t="n">
        <v>12</v>
      </c>
      <c r="G6" s="3" t="n">
        <v>15</v>
      </c>
      <c r="H6" s="2" t="inlineStr">
        <is>
          <t>Square checkout product assumption; update with live catalog when finalized.</t>
        </is>
      </c>
    </row>
    <row r="7">
      <c r="A7" s="2" t="inlineStr">
        <is>
          <t>events_month1</t>
        </is>
      </c>
      <c r="B7" s="2" t="inlineStr">
        <is>
          <t>Revenue - events</t>
        </is>
      </c>
      <c r="C7" s="2" t="inlineStr">
        <is>
          <t>Month 1 collaborative events</t>
        </is>
      </c>
      <c r="D7" s="2" t="inlineStr">
        <is>
          <t>events</t>
        </is>
      </c>
      <c r="E7" s="4" t="n">
        <v>1</v>
      </c>
      <c r="F7" s="4" t="n">
        <v>2</v>
      </c>
      <c r="G7" s="4" t="n">
        <v>4</v>
      </c>
      <c r="H7" s="2" t="inlineStr">
        <is>
          <t>CMO growth playbook days 5-14: collaborative events and recurring calendars.</t>
        </is>
      </c>
    </row>
    <row r="8">
      <c r="A8" s="2" t="inlineStr">
        <is>
          <t>event_growth</t>
        </is>
      </c>
      <c r="B8" s="2" t="inlineStr">
        <is>
          <t>Revenue - events</t>
        </is>
      </c>
      <c r="C8" s="2" t="inlineStr">
        <is>
          <t>Monthly event volume growth</t>
        </is>
      </c>
      <c r="D8" s="2" t="inlineStr">
        <is>
          <t>%</t>
        </is>
      </c>
      <c r="E8" s="5" t="n">
        <v>0.05</v>
      </c>
      <c r="F8" s="5" t="n">
        <v>0.1</v>
      </c>
      <c r="G8" s="5" t="n">
        <v>0.14</v>
      </c>
      <c r="H8" s="2" t="inlineStr">
        <is>
          <t>Growth playbook partnership scaling assumption.</t>
        </is>
      </c>
    </row>
    <row r="9">
      <c r="A9" s="2" t="inlineStr">
        <is>
          <t>avg_event_revenue</t>
        </is>
      </c>
      <c r="B9" s="2" t="inlineStr">
        <is>
          <t>Revenue - events</t>
        </is>
      </c>
      <c r="C9" s="2" t="inlineStr">
        <is>
          <t>Average gross revenue per event</t>
        </is>
      </c>
      <c r="D9" s="2" t="inlineStr">
        <is>
          <t>$/event</t>
        </is>
      </c>
      <c r="E9" s="3" t="n">
        <v>200</v>
      </c>
      <c r="F9" s="3" t="n">
        <v>350</v>
      </c>
      <c r="G9" s="3" t="n">
        <v>600</v>
      </c>
      <c r="H9" s="2" t="inlineStr">
        <is>
          <t>Commercial consideration / partnership-fee path from growth playbook.</t>
        </is>
      </c>
    </row>
    <row r="10">
      <c r="A10" s="2" t="inlineStr">
        <is>
          <t>partner_fee_per_event</t>
        </is>
      </c>
      <c r="B10" s="2" t="inlineStr">
        <is>
          <t>Cost - events</t>
        </is>
      </c>
      <c r="C10" s="2" t="inlineStr">
        <is>
          <t>Average partner fee per event</t>
        </is>
      </c>
      <c r="D10" s="2" t="inlineStr">
        <is>
          <t>$/event</t>
        </is>
      </c>
      <c r="E10" s="3" t="n">
        <v>75</v>
      </c>
      <c r="F10" s="3" t="n">
        <v>125</v>
      </c>
      <c r="G10" s="3" t="n">
        <v>200</v>
      </c>
      <c r="H10" s="2" t="inlineStr">
        <is>
          <t>Host/partner commercial consideration from growth playbook lines 146-154.</t>
        </is>
      </c>
    </row>
    <row r="11">
      <c r="A11" s="2" t="inlineStr">
        <is>
          <t>services_rev_month1</t>
        </is>
      </c>
      <c r="B11" s="2" t="inlineStr">
        <is>
          <t>Revenue - automation</t>
        </is>
      </c>
      <c r="C11" s="2" t="inlineStr">
        <is>
          <t>Month 1 automation/services revenue</t>
        </is>
      </c>
      <c r="D11" s="2" t="inlineStr">
        <is>
          <t>$</t>
        </is>
      </c>
      <c r="E11" s="3" t="n">
        <v>750</v>
      </c>
      <c r="F11" s="3" t="n">
        <v>2000</v>
      </c>
      <c r="G11" s="3" t="n">
        <v>5000</v>
      </c>
      <c r="H11" s="2" t="inlineStr">
        <is>
          <t>CMO proposal/cold-email playbook in paperclip/agents/cmo-marketing.md.</t>
        </is>
      </c>
    </row>
    <row r="12">
      <c r="A12" s="2" t="inlineStr">
        <is>
          <t>services_rev_growth</t>
        </is>
      </c>
      <c r="B12" s="2" t="inlineStr">
        <is>
          <t>Revenue - automation</t>
        </is>
      </c>
      <c r="C12" s="2" t="inlineStr">
        <is>
          <t>Monthly automation/services revenue growth</t>
        </is>
      </c>
      <c r="D12" s="2" t="inlineStr">
        <is>
          <t>%</t>
        </is>
      </c>
      <c r="E12" s="5" t="n">
        <v>0.05</v>
      </c>
      <c r="F12" s="5" t="n">
        <v>0.08</v>
      </c>
      <c r="G12" s="5" t="n">
        <v>0.1</v>
      </c>
      <c r="H12" s="2" t="inlineStr">
        <is>
          <t>Lead-gen/proposal conversion ramp; update with CRM data.</t>
        </is>
      </c>
    </row>
    <row r="13">
      <c r="A13" s="2" t="inlineStr">
        <is>
          <t>merch_start_month</t>
        </is>
      </c>
      <c r="B13" s="2" t="inlineStr">
        <is>
          <t>Revenue - merch</t>
        </is>
      </c>
      <c r="C13" s="2" t="inlineStr">
        <is>
          <t>Merch starts in month</t>
        </is>
      </c>
      <c r="D13" s="2" t="inlineStr">
        <is>
          <t>month #</t>
        </is>
      </c>
      <c r="E13" s="4" t="n">
        <v>10</v>
      </c>
      <c r="F13" s="4" t="n">
        <v>7</v>
      </c>
      <c r="G13" s="4" t="n">
        <v>5</v>
      </c>
      <c r="H13" s="2" t="inlineStr">
        <is>
          <t>DAO architecture Track 3 merchandise path.</t>
        </is>
      </c>
    </row>
    <row r="14">
      <c r="A14" s="2" t="inlineStr">
        <is>
          <t>merch_units_month1</t>
        </is>
      </c>
      <c r="B14" s="2" t="inlineStr">
        <is>
          <t>Revenue - merch</t>
        </is>
      </c>
      <c r="C14" s="2" t="inlineStr">
        <is>
          <t>First merch month units</t>
        </is>
      </c>
      <c r="D14" s="2" t="inlineStr">
        <is>
          <t>units</t>
        </is>
      </c>
      <c r="E14" s="4" t="n">
        <v>15</v>
      </c>
      <c r="F14" s="4" t="n">
        <v>35</v>
      </c>
      <c r="G14" s="4" t="n">
        <v>75</v>
      </c>
      <c r="H14" s="2" t="inlineStr">
        <is>
          <t>DAO architecture impact path; print-on-demand model assumption.</t>
        </is>
      </c>
    </row>
    <row r="15">
      <c r="A15" s="2" t="inlineStr">
        <is>
          <t>merch_units_growth</t>
        </is>
      </c>
      <c r="B15" s="2" t="inlineStr">
        <is>
          <t>Revenue - merch</t>
        </is>
      </c>
      <c r="C15" s="2" t="inlineStr">
        <is>
          <t>Monthly merch unit growth after start</t>
        </is>
      </c>
      <c r="D15" s="2" t="inlineStr">
        <is>
          <t>%</t>
        </is>
      </c>
      <c r="E15" s="5" t="n">
        <v>0.03</v>
      </c>
      <c r="F15" s="5" t="n">
        <v>0.07000000000000001</v>
      </c>
      <c r="G15" s="5" t="n">
        <v>0.1</v>
      </c>
      <c r="H15" s="2" t="inlineStr">
        <is>
          <t>Brand/community growth assumption.</t>
        </is>
      </c>
    </row>
    <row r="16">
      <c r="A16" s="2" t="inlineStr">
        <is>
          <t>merch_profit_per_unit</t>
        </is>
      </c>
      <c r="B16" s="2" t="inlineStr">
        <is>
          <t>Revenue - merch</t>
        </is>
      </c>
      <c r="C16" s="2" t="inlineStr">
        <is>
          <t>Net profit per merch unit</t>
        </is>
      </c>
      <c r="D16" s="2" t="inlineStr">
        <is>
          <t>$/unit</t>
        </is>
      </c>
      <c r="E16" s="3" t="n">
        <v>8</v>
      </c>
      <c r="F16" s="3" t="n">
        <v>10</v>
      </c>
      <c r="G16" s="3" t="n">
        <v>12</v>
      </c>
      <c r="H16" s="2" t="inlineStr">
        <is>
          <t>Net profit assumption before 10% mission reserve.</t>
        </is>
      </c>
    </row>
    <row r="17">
      <c r="A17" s="2" t="inlineStr">
        <is>
          <t>funding_month</t>
        </is>
      </c>
      <c r="B17" s="2" t="inlineStr">
        <is>
          <t>Funding</t>
        </is>
      </c>
      <c r="C17" s="2" t="inlineStr">
        <is>
          <t>One-time funding month</t>
        </is>
      </c>
      <c r="D17" s="2" t="inlineStr">
        <is>
          <t>month #; 0=none</t>
        </is>
      </c>
      <c r="E17" s="4" t="n">
        <v>0</v>
      </c>
      <c r="F17" s="4" t="n">
        <v>12</v>
      </c>
      <c r="G17" s="4" t="n">
        <v>9</v>
      </c>
      <c r="H17" s="2" t="inlineStr">
        <is>
          <t>DAO public/funding path; shown separately from operating revenue.</t>
        </is>
      </c>
    </row>
    <row r="18">
      <c r="A18" s="2" t="inlineStr">
        <is>
          <t>funding_inflow</t>
        </is>
      </c>
      <c r="B18" s="2" t="inlineStr">
        <is>
          <t>Funding</t>
        </is>
      </c>
      <c r="C18" s="2" t="inlineStr">
        <is>
          <t>One-time funding inflow</t>
        </is>
      </c>
      <c r="D18" s="2" t="inlineStr">
        <is>
          <t>$</t>
        </is>
      </c>
      <c r="E18" s="3" t="n">
        <v>0</v>
      </c>
      <c r="F18" s="3" t="n">
        <v>15000</v>
      </c>
      <c r="G18" s="3" t="n">
        <v>40000</v>
      </c>
      <c r="H18" s="2" t="inlineStr">
        <is>
          <t>Scenario capital/funding inflow; not counted as operating break-even.</t>
        </is>
      </c>
    </row>
    <row r="19">
      <c r="A19" s="2" t="inlineStr">
        <is>
          <t>fixed_infra</t>
        </is>
      </c>
      <c r="B19" s="2" t="inlineStr">
        <is>
          <t>Cost - architecture</t>
        </is>
      </c>
      <c r="C19" s="2" t="inlineStr">
        <is>
          <t>Fixed infra/platform cost per month</t>
        </is>
      </c>
      <c r="D19" s="2" t="inlineStr">
        <is>
          <t>$/mo</t>
        </is>
      </c>
      <c r="E19" s="3" t="n">
        <v>95</v>
      </c>
      <c r="F19" s="3" t="n">
        <v>175</v>
      </c>
      <c r="G19" s="3" t="n">
        <v>300</v>
      </c>
      <c r="H19" s="2" t="inlineStr">
        <is>
          <t>Mirrors docs/architecture.md: Cloudflare Pages/Tunnel, API, Postgres, monitoring.</t>
        </is>
      </c>
    </row>
    <row r="20">
      <c r="A20" s="2" t="inlineStr">
        <is>
          <t>model_tools</t>
        </is>
      </c>
      <c r="B20" s="2" t="inlineStr">
        <is>
          <t>Cost - architecture</t>
        </is>
      </c>
      <c r="C20" s="2" t="inlineStr">
        <is>
          <t>AI/model/tooling cost per month</t>
        </is>
      </c>
      <c r="D20" s="2" t="inlineStr">
        <is>
          <t>$/mo</t>
        </is>
      </c>
      <c r="E20" s="3" t="n">
        <v>200</v>
      </c>
      <c r="F20" s="3" t="n">
        <v>350</v>
      </c>
      <c r="G20" s="3" t="n">
        <v>500</v>
      </c>
      <c r="H20" s="2" t="inlineStr">
        <is>
          <t>Mirrors hermes.md free-first adapter stack plus paid CLI/tool buckets.</t>
        </is>
      </c>
    </row>
    <row r="21">
      <c r="A21" s="2" t="inlineStr">
        <is>
          <t>marketing_spend</t>
        </is>
      </c>
      <c r="B21" s="2" t="inlineStr">
        <is>
          <t>Cost - go-to-market</t>
        </is>
      </c>
      <c r="C21" s="2" t="inlineStr">
        <is>
          <t>Marketing/community spend per month</t>
        </is>
      </c>
      <c r="D21" s="2" t="inlineStr">
        <is>
          <t>$/mo</t>
        </is>
      </c>
      <c r="E21" s="3" t="n">
        <v>300</v>
      </c>
      <c r="F21" s="3" t="n">
        <v>750</v>
      </c>
      <c r="G21" s="3" t="n">
        <v>1500</v>
      </c>
      <c r="H21" s="2" t="inlineStr">
        <is>
          <t>CMO playbook: community mapping, outreach, events, content.</t>
        </is>
      </c>
    </row>
    <row r="22">
      <c r="A22" s="2" t="inlineStr">
        <is>
          <t>contractor_dev</t>
        </is>
      </c>
      <c r="B22" s="2" t="inlineStr">
        <is>
          <t>Cost - architecture</t>
        </is>
      </c>
      <c r="C22" s="2" t="inlineStr">
        <is>
          <t>Contractor/development support per month</t>
        </is>
      </c>
      <c r="D22" s="2" t="inlineStr">
        <is>
          <t>$/mo</t>
        </is>
      </c>
      <c r="E22" s="3" t="n">
        <v>1000</v>
      </c>
      <c r="F22" s="3" t="n">
        <v>2500</v>
      </c>
      <c r="G22" s="3" t="n">
        <v>4000</v>
      </c>
      <c r="H22" s="2" t="inlineStr">
        <is>
          <t>Lean delivery support for FastAPI/React/Square/DAO integrations.</t>
        </is>
      </c>
    </row>
    <row r="23">
      <c r="A23" s="2" t="inlineStr">
        <is>
          <t>compliance_legal_monthly</t>
        </is>
      </c>
      <c r="B23" s="2" t="inlineStr">
        <is>
          <t>Cost - compliance</t>
        </is>
      </c>
      <c r="C23" s="2" t="inlineStr">
        <is>
          <t>Compliance/legal/accounting reserve per month</t>
        </is>
      </c>
      <c r="D23" s="2" t="inlineStr">
        <is>
          <t>$/mo</t>
        </is>
      </c>
      <c r="E23" s="3" t="n">
        <v>200</v>
      </c>
      <c r="F23" s="3" t="n">
        <v>350</v>
      </c>
      <c r="G23" s="3" t="n">
        <v>500</v>
      </c>
      <c r="H23" s="2" t="inlineStr">
        <is>
          <t>DAO architecture lists legal, audit, CPA reviews; monthly reserve smooths cash planning.</t>
        </is>
      </c>
    </row>
    <row r="24">
      <c r="A24" s="2" t="inlineStr">
        <is>
          <t>dao_milestone_month</t>
        </is>
      </c>
      <c r="B24" s="2" t="inlineStr">
        <is>
          <t>Cost - DAO</t>
        </is>
      </c>
      <c r="C24" s="2" t="inlineStr">
        <is>
          <t>DAO/security/legal milestone month</t>
        </is>
      </c>
      <c r="D24" s="2" t="inlineStr">
        <is>
          <t>month #; 0=none</t>
        </is>
      </c>
      <c r="E24" s="4" t="n">
        <v>18</v>
      </c>
      <c r="F24" s="4" t="n">
        <v>12</v>
      </c>
      <c r="G24" s="4" t="n">
        <v>9</v>
      </c>
      <c r="H24" s="2" t="inlineStr">
        <is>
          <t>DAO architecture resource requirements and security/legal review milestones.</t>
        </is>
      </c>
    </row>
    <row r="25">
      <c r="A25" s="2" t="inlineStr">
        <is>
          <t>dao_milestone_cost</t>
        </is>
      </c>
      <c r="B25" s="2" t="inlineStr">
        <is>
          <t>Cost - DAO</t>
        </is>
      </c>
      <c r="C25" s="2" t="inlineStr">
        <is>
          <t>DAO/security/legal milestone cost</t>
        </is>
      </c>
      <c r="D25" s="2" t="inlineStr">
        <is>
          <t>$</t>
        </is>
      </c>
      <c r="E25" s="3" t="n">
        <v>2000</v>
      </c>
      <c r="F25" s="3" t="n">
        <v>5000</v>
      </c>
      <c r="G25" s="3" t="n">
        <v>8000</v>
      </c>
      <c r="H25" s="2" t="inlineStr">
        <is>
          <t>Conservative portion of DAO architecture legal/audit costs.</t>
        </is>
      </c>
    </row>
    <row r="26">
      <c r="A26" s="2" t="inlineStr">
        <is>
          <t>variable_cost_pct</t>
        </is>
      </c>
      <c r="B26" s="2" t="inlineStr">
        <is>
          <t>Cost - variable</t>
        </is>
      </c>
      <c r="C26" s="2" t="inlineStr">
        <is>
          <t>Variable delivery/COGS rate on operating revenue</t>
        </is>
      </c>
      <c r="D26" s="2" t="inlineStr">
        <is>
          <t>%</t>
        </is>
      </c>
      <c r="E26" s="5" t="n">
        <v>0.08</v>
      </c>
      <c r="F26" s="5" t="n">
        <v>0.07000000000000001</v>
      </c>
      <c r="G26" s="5" t="n">
        <v>0.06</v>
      </c>
      <c r="H26" s="2" t="inlineStr">
        <is>
          <t>Support, hosting overages, fulfillment friction; scale improves in optimistic case.</t>
        </is>
      </c>
    </row>
    <row r="27">
      <c r="A27" s="2" t="inlineStr">
        <is>
          <t>square_fee_pct</t>
        </is>
      </c>
      <c r="B27" s="2" t="inlineStr">
        <is>
          <t>Cost - payments</t>
        </is>
      </c>
      <c r="C27" s="2" t="inlineStr">
        <is>
          <t>Square processing percent</t>
        </is>
      </c>
      <c r="D27" s="2" t="inlineStr">
        <is>
          <t>%</t>
        </is>
      </c>
      <c r="E27" s="5" t="n">
        <v>0.029</v>
      </c>
      <c r="F27" s="5" t="n">
        <v>0.029</v>
      </c>
      <c r="G27" s="5" t="n">
        <v>0.029</v>
      </c>
      <c r="H27" s="2" t="inlineStr">
        <is>
          <t>Input placeholder; verify against live Square fee schedule before board/investor use.</t>
        </is>
      </c>
    </row>
    <row r="28">
      <c r="A28" s="2" t="inlineStr">
        <is>
          <t>tax_reserve_pct</t>
        </is>
      </c>
      <c r="B28" s="2" t="inlineStr">
        <is>
          <t>Cash reserve</t>
        </is>
      </c>
      <c r="C28" s="2" t="inlineStr">
        <is>
          <t>Planning tax reserve on positive operating profit after mission reserve</t>
        </is>
      </c>
      <c r="D28" s="2" t="inlineStr">
        <is>
          <t>%</t>
        </is>
      </c>
      <c r="E28" s="5" t="n">
        <v>0.27</v>
      </c>
      <c r="F28" s="5" t="n">
        <v>0.27</v>
      </c>
      <c r="G28" s="5" t="n">
        <v>0.27</v>
      </c>
      <c r="H28" s="2" t="inlineStr">
        <is>
          <t>High-level cash reserve only; not tax structuring.</t>
        </is>
      </c>
    </row>
    <row r="29">
      <c r="A29" s="2" t="inlineStr">
        <is>
          <t>mission_reserve_pct</t>
        </is>
      </c>
      <c r="B29" s="2" t="inlineStr">
        <is>
          <t>Cash reserve</t>
        </is>
      </c>
      <c r="C29" s="2" t="inlineStr">
        <is>
          <t>Mission reserve from gross operating revenue</t>
        </is>
      </c>
      <c r="D29" s="2" t="inlineStr">
        <is>
          <t>%</t>
        </is>
      </c>
      <c r="E29" s="5" t="n">
        <v>0.1</v>
      </c>
      <c r="F29" s="5" t="n">
        <v>0.1</v>
      </c>
      <c r="G29" s="5" t="n">
        <v>0.1</v>
      </c>
      <c r="H29" s="2" t="inlineStr">
        <is>
          <t>Paper Weight doctrine: 10% of revenue to #ForTheKids buckets.</t>
        </is>
      </c>
    </row>
    <row r="30">
      <c r="A30" s="2" t="inlineStr">
        <is>
          <t>cogs_per_active_member</t>
        </is>
      </c>
      <c r="B30" s="2" t="inlineStr">
        <is>
          <t>Cost - variable</t>
        </is>
      </c>
      <c r="C30" s="2" t="inlineStr">
        <is>
          <t>Per-active-user platform variable cost</t>
        </is>
      </c>
      <c r="D30" s="2" t="inlineStr">
        <is>
          <t>$/active user/mo</t>
        </is>
      </c>
      <c r="E30" s="6" t="n">
        <v>0.05</v>
      </c>
      <c r="F30" s="6" t="n">
        <v>0.08</v>
      </c>
      <c r="G30" s="6" t="n">
        <v>0.12</v>
      </c>
      <c r="H30" s="2" t="inlineStr">
        <is>
          <t>Messaging/moderation/storage variable cost assumption.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M01</t>
        </is>
      </c>
      <c r="D1" s="1" t="inlineStr">
        <is>
          <t>M02</t>
        </is>
      </c>
      <c r="E1" s="1" t="inlineStr">
        <is>
          <t>M03</t>
        </is>
      </c>
      <c r="F1" s="1" t="inlineStr">
        <is>
          <t>M04</t>
        </is>
      </c>
      <c r="G1" s="1" t="inlineStr">
        <is>
          <t>M05</t>
        </is>
      </c>
      <c r="H1" s="1" t="inlineStr">
        <is>
          <t>M06</t>
        </is>
      </c>
      <c r="I1" s="1" t="inlineStr">
        <is>
          <t>M07</t>
        </is>
      </c>
      <c r="J1" s="1" t="inlineStr">
        <is>
          <t>M08</t>
        </is>
      </c>
      <c r="K1" s="1" t="inlineStr">
        <is>
          <t>M09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M13</t>
        </is>
      </c>
      <c r="P1" s="1" t="inlineStr">
        <is>
          <t>M14</t>
        </is>
      </c>
      <c r="Q1" s="1" t="inlineStr">
        <is>
          <t>M15</t>
        </is>
      </c>
      <c r="R1" s="1" t="inlineStr">
        <is>
          <t>M16</t>
        </is>
      </c>
      <c r="S1" s="1" t="inlineStr">
        <is>
          <t>M17</t>
        </is>
      </c>
      <c r="T1" s="1" t="inlineStr">
        <is>
          <t>M18</t>
        </is>
      </c>
      <c r="U1" s="1" t="inlineStr">
        <is>
          <t>M19</t>
        </is>
      </c>
      <c r="V1" s="1" t="inlineStr">
        <is>
          <t>M20</t>
        </is>
      </c>
      <c r="W1" s="1" t="inlineStr">
        <is>
          <t>M21</t>
        </is>
      </c>
      <c r="X1" s="1" t="inlineStr">
        <is>
          <t>M22</t>
        </is>
      </c>
      <c r="Y1" s="1" t="inlineStr">
        <is>
          <t>M23</t>
        </is>
      </c>
      <c r="Z1" s="1" t="inlineStr">
        <is>
          <t>M24</t>
        </is>
      </c>
      <c r="AA1" s="1" t="inlineStr">
        <is>
          <t>M25</t>
        </is>
      </c>
      <c r="AB1" s="1" t="inlineStr">
        <is>
          <t>M26</t>
        </is>
      </c>
      <c r="AC1" s="1" t="inlineStr">
        <is>
          <t>M27</t>
        </is>
      </c>
      <c r="AD1" s="1" t="inlineStr">
        <is>
          <t>M28</t>
        </is>
      </c>
      <c r="AE1" s="1" t="inlineStr">
        <is>
          <t>M29</t>
        </is>
      </c>
      <c r="AF1" s="1" t="inlineStr">
        <is>
          <t>M30</t>
        </is>
      </c>
      <c r="AG1" s="1" t="inlineStr">
        <is>
          <t>M31</t>
        </is>
      </c>
      <c r="AH1" s="1" t="inlineStr">
        <is>
          <t>M32</t>
        </is>
      </c>
      <c r="AI1" s="1" t="inlineStr">
        <is>
          <t>M33</t>
        </is>
      </c>
      <c r="AJ1" s="1" t="inlineStr">
        <is>
          <t>M34</t>
        </is>
      </c>
      <c r="AK1" s="1" t="inlineStr">
        <is>
          <t>M35</t>
        </is>
      </c>
      <c r="AL1" s="1" t="inlineStr">
        <is>
          <t>M36</t>
        </is>
      </c>
    </row>
    <row r="2">
      <c r="A2" s="2" t="inlineStr">
        <is>
          <t>Conservative</t>
        </is>
      </c>
      <c r="B2" s="2" t="inlineStr">
        <is>
          <t>Active members</t>
        </is>
      </c>
      <c r="C2" s="7">
        <f>Inputs!$D$3*(1+Inputs!$D$4)^(1-1)</f>
        <v/>
      </c>
      <c r="D2" s="7">
        <f>Inputs!$D$3*(1+Inputs!$D$4)^(2-1)</f>
        <v/>
      </c>
      <c r="E2" s="7">
        <f>Inputs!$D$3*(1+Inputs!$D$4)^(3-1)</f>
        <v/>
      </c>
      <c r="F2" s="7">
        <f>Inputs!$D$3*(1+Inputs!$D$4)^(4-1)</f>
        <v/>
      </c>
      <c r="G2" s="7">
        <f>Inputs!$D$3*(1+Inputs!$D$4)^(5-1)</f>
        <v/>
      </c>
      <c r="H2" s="7">
        <f>Inputs!$D$3*(1+Inputs!$D$4)^(6-1)</f>
        <v/>
      </c>
      <c r="I2" s="7">
        <f>Inputs!$D$3*(1+Inputs!$D$4)^(7-1)</f>
        <v/>
      </c>
      <c r="J2" s="7">
        <f>Inputs!$D$3*(1+Inputs!$D$4)^(8-1)</f>
        <v/>
      </c>
      <c r="K2" s="7">
        <f>Inputs!$D$3*(1+Inputs!$D$4)^(9-1)</f>
        <v/>
      </c>
      <c r="L2" s="7">
        <f>Inputs!$D$3*(1+Inputs!$D$4)^(10-1)</f>
        <v/>
      </c>
      <c r="M2" s="7">
        <f>Inputs!$D$3*(1+Inputs!$D$4)^(11-1)</f>
        <v/>
      </c>
      <c r="N2" s="7">
        <f>Inputs!$D$3*(1+Inputs!$D$4)^(12-1)</f>
        <v/>
      </c>
      <c r="O2" s="7">
        <f>Inputs!$D$3*(1+Inputs!$D$4)^(13-1)</f>
        <v/>
      </c>
      <c r="P2" s="7">
        <f>Inputs!$D$3*(1+Inputs!$D$4)^(14-1)</f>
        <v/>
      </c>
      <c r="Q2" s="7">
        <f>Inputs!$D$3*(1+Inputs!$D$4)^(15-1)</f>
        <v/>
      </c>
      <c r="R2" s="7">
        <f>Inputs!$D$3*(1+Inputs!$D$4)^(16-1)</f>
        <v/>
      </c>
      <c r="S2" s="7">
        <f>Inputs!$D$3*(1+Inputs!$D$4)^(17-1)</f>
        <v/>
      </c>
      <c r="T2" s="7">
        <f>Inputs!$D$3*(1+Inputs!$D$4)^(18-1)</f>
        <v/>
      </c>
      <c r="U2" s="7">
        <f>Inputs!$D$3*(1+Inputs!$D$4)^(19-1)</f>
        <v/>
      </c>
      <c r="V2" s="7">
        <f>Inputs!$D$3*(1+Inputs!$D$4)^(20-1)</f>
        <v/>
      </c>
      <c r="W2" s="7">
        <f>Inputs!$D$3*(1+Inputs!$D$4)^(21-1)</f>
        <v/>
      </c>
      <c r="X2" s="7">
        <f>Inputs!$D$3*(1+Inputs!$D$4)^(22-1)</f>
        <v/>
      </c>
      <c r="Y2" s="7">
        <f>Inputs!$D$3*(1+Inputs!$D$4)^(23-1)</f>
        <v/>
      </c>
      <c r="Z2" s="7">
        <f>Inputs!$D$3*(1+Inputs!$D$4)^(24-1)</f>
        <v/>
      </c>
      <c r="AA2" s="7">
        <f>Inputs!$D$3*(1+Inputs!$D$4)^(25-1)</f>
        <v/>
      </c>
      <c r="AB2" s="7">
        <f>Inputs!$D$3*(1+Inputs!$D$4)^(26-1)</f>
        <v/>
      </c>
      <c r="AC2" s="7">
        <f>Inputs!$D$3*(1+Inputs!$D$4)^(27-1)</f>
        <v/>
      </c>
      <c r="AD2" s="7">
        <f>Inputs!$D$3*(1+Inputs!$D$4)^(28-1)</f>
        <v/>
      </c>
      <c r="AE2" s="7">
        <f>Inputs!$D$3*(1+Inputs!$D$4)^(29-1)</f>
        <v/>
      </c>
      <c r="AF2" s="7">
        <f>Inputs!$D$3*(1+Inputs!$D$4)^(30-1)</f>
        <v/>
      </c>
      <c r="AG2" s="7">
        <f>Inputs!$D$3*(1+Inputs!$D$4)^(31-1)</f>
        <v/>
      </c>
      <c r="AH2" s="7">
        <f>Inputs!$D$3*(1+Inputs!$D$4)^(32-1)</f>
        <v/>
      </c>
      <c r="AI2" s="7">
        <f>Inputs!$D$3*(1+Inputs!$D$4)^(33-1)</f>
        <v/>
      </c>
      <c r="AJ2" s="7">
        <f>Inputs!$D$3*(1+Inputs!$D$4)^(34-1)</f>
        <v/>
      </c>
      <c r="AK2" s="7">
        <f>Inputs!$D$3*(1+Inputs!$D$4)^(35-1)</f>
        <v/>
      </c>
      <c r="AL2" s="7">
        <f>Inputs!$D$3*(1+Inputs!$D$4)^(36-1)</f>
        <v/>
      </c>
    </row>
    <row r="3">
      <c r="A3" s="2" t="inlineStr">
        <is>
          <t>Conservative</t>
        </is>
      </c>
      <c r="B3" s="2" t="inlineStr">
        <is>
          <t>Paid members</t>
        </is>
      </c>
      <c r="C3" s="7">
        <f>C2*Inputs!$D$5</f>
        <v/>
      </c>
      <c r="D3" s="7">
        <f>D2*Inputs!$D$5</f>
        <v/>
      </c>
      <c r="E3" s="7">
        <f>E2*Inputs!$D$5</f>
        <v/>
      </c>
      <c r="F3" s="7">
        <f>F2*Inputs!$D$5</f>
        <v/>
      </c>
      <c r="G3" s="7">
        <f>G2*Inputs!$D$5</f>
        <v/>
      </c>
      <c r="H3" s="7">
        <f>H2*Inputs!$D$5</f>
        <v/>
      </c>
      <c r="I3" s="7">
        <f>I2*Inputs!$D$5</f>
        <v/>
      </c>
      <c r="J3" s="7">
        <f>J2*Inputs!$D$5</f>
        <v/>
      </c>
      <c r="K3" s="7">
        <f>K2*Inputs!$D$5</f>
        <v/>
      </c>
      <c r="L3" s="7">
        <f>L2*Inputs!$D$5</f>
        <v/>
      </c>
      <c r="M3" s="7">
        <f>M2*Inputs!$D$5</f>
        <v/>
      </c>
      <c r="N3" s="7">
        <f>N2*Inputs!$D$5</f>
        <v/>
      </c>
      <c r="O3" s="7">
        <f>O2*Inputs!$D$5</f>
        <v/>
      </c>
      <c r="P3" s="7">
        <f>P2*Inputs!$D$5</f>
        <v/>
      </c>
      <c r="Q3" s="7">
        <f>Q2*Inputs!$D$5</f>
        <v/>
      </c>
      <c r="R3" s="7">
        <f>R2*Inputs!$D$5</f>
        <v/>
      </c>
      <c r="S3" s="7">
        <f>S2*Inputs!$D$5</f>
        <v/>
      </c>
      <c r="T3" s="7">
        <f>T2*Inputs!$D$5</f>
        <v/>
      </c>
      <c r="U3" s="7">
        <f>U2*Inputs!$D$5</f>
        <v/>
      </c>
      <c r="V3" s="7">
        <f>V2*Inputs!$D$5</f>
        <v/>
      </c>
      <c r="W3" s="7">
        <f>W2*Inputs!$D$5</f>
        <v/>
      </c>
      <c r="X3" s="7">
        <f>X2*Inputs!$D$5</f>
        <v/>
      </c>
      <c r="Y3" s="7">
        <f>Y2*Inputs!$D$5</f>
        <v/>
      </c>
      <c r="Z3" s="7">
        <f>Z2*Inputs!$D$5</f>
        <v/>
      </c>
      <c r="AA3" s="7">
        <f>AA2*Inputs!$D$5</f>
        <v/>
      </c>
      <c r="AB3" s="7">
        <f>AB2*Inputs!$D$5</f>
        <v/>
      </c>
      <c r="AC3" s="7">
        <f>AC2*Inputs!$D$5</f>
        <v/>
      </c>
      <c r="AD3" s="7">
        <f>AD2*Inputs!$D$5</f>
        <v/>
      </c>
      <c r="AE3" s="7">
        <f>AE2*Inputs!$D$5</f>
        <v/>
      </c>
      <c r="AF3" s="7">
        <f>AF2*Inputs!$D$5</f>
        <v/>
      </c>
      <c r="AG3" s="7">
        <f>AG2*Inputs!$D$5</f>
        <v/>
      </c>
      <c r="AH3" s="7">
        <f>AH2*Inputs!$D$5</f>
        <v/>
      </c>
      <c r="AI3" s="7">
        <f>AI2*Inputs!$D$5</f>
        <v/>
      </c>
      <c r="AJ3" s="7">
        <f>AJ2*Inputs!$D$5</f>
        <v/>
      </c>
      <c r="AK3" s="7">
        <f>AK2*Inputs!$D$5</f>
        <v/>
      </c>
      <c r="AL3" s="7">
        <f>AL2*Inputs!$D$5</f>
        <v/>
      </c>
    </row>
    <row r="4">
      <c r="A4" s="2" t="inlineStr">
        <is>
          <t>Conservative</t>
        </is>
      </c>
      <c r="B4" s="2" t="inlineStr">
        <is>
          <t>Membership revenue</t>
        </is>
      </c>
      <c r="C4" s="8">
        <f>C3*Inputs!$D$6</f>
        <v/>
      </c>
      <c r="D4" s="8">
        <f>D3*Inputs!$D$6</f>
        <v/>
      </c>
      <c r="E4" s="8">
        <f>E3*Inputs!$D$6</f>
        <v/>
      </c>
      <c r="F4" s="8">
        <f>F3*Inputs!$D$6</f>
        <v/>
      </c>
      <c r="G4" s="8">
        <f>G3*Inputs!$D$6</f>
        <v/>
      </c>
      <c r="H4" s="8">
        <f>H3*Inputs!$D$6</f>
        <v/>
      </c>
      <c r="I4" s="8">
        <f>I3*Inputs!$D$6</f>
        <v/>
      </c>
      <c r="J4" s="8">
        <f>J3*Inputs!$D$6</f>
        <v/>
      </c>
      <c r="K4" s="8">
        <f>K3*Inputs!$D$6</f>
        <v/>
      </c>
      <c r="L4" s="8">
        <f>L3*Inputs!$D$6</f>
        <v/>
      </c>
      <c r="M4" s="8">
        <f>M3*Inputs!$D$6</f>
        <v/>
      </c>
      <c r="N4" s="8">
        <f>N3*Inputs!$D$6</f>
        <v/>
      </c>
      <c r="O4" s="8">
        <f>O3*Inputs!$D$6</f>
        <v/>
      </c>
      <c r="P4" s="8">
        <f>P3*Inputs!$D$6</f>
        <v/>
      </c>
      <c r="Q4" s="8">
        <f>Q3*Inputs!$D$6</f>
        <v/>
      </c>
      <c r="R4" s="8">
        <f>R3*Inputs!$D$6</f>
        <v/>
      </c>
      <c r="S4" s="8">
        <f>S3*Inputs!$D$6</f>
        <v/>
      </c>
      <c r="T4" s="8">
        <f>T3*Inputs!$D$6</f>
        <v/>
      </c>
      <c r="U4" s="8">
        <f>U3*Inputs!$D$6</f>
        <v/>
      </c>
      <c r="V4" s="8">
        <f>V3*Inputs!$D$6</f>
        <v/>
      </c>
      <c r="W4" s="8">
        <f>W3*Inputs!$D$6</f>
        <v/>
      </c>
      <c r="X4" s="8">
        <f>X3*Inputs!$D$6</f>
        <v/>
      </c>
      <c r="Y4" s="8">
        <f>Y3*Inputs!$D$6</f>
        <v/>
      </c>
      <c r="Z4" s="8">
        <f>Z3*Inputs!$D$6</f>
        <v/>
      </c>
      <c r="AA4" s="8">
        <f>AA3*Inputs!$D$6</f>
        <v/>
      </c>
      <c r="AB4" s="8">
        <f>AB3*Inputs!$D$6</f>
        <v/>
      </c>
      <c r="AC4" s="8">
        <f>AC3*Inputs!$D$6</f>
        <v/>
      </c>
      <c r="AD4" s="8">
        <f>AD3*Inputs!$D$6</f>
        <v/>
      </c>
      <c r="AE4" s="8">
        <f>AE3*Inputs!$D$6</f>
        <v/>
      </c>
      <c r="AF4" s="8">
        <f>AF3*Inputs!$D$6</f>
        <v/>
      </c>
      <c r="AG4" s="8">
        <f>AG3*Inputs!$D$6</f>
        <v/>
      </c>
      <c r="AH4" s="8">
        <f>AH3*Inputs!$D$6</f>
        <v/>
      </c>
      <c r="AI4" s="8">
        <f>AI3*Inputs!$D$6</f>
        <v/>
      </c>
      <c r="AJ4" s="8">
        <f>AJ3*Inputs!$D$6</f>
        <v/>
      </c>
      <c r="AK4" s="8">
        <f>AK3*Inputs!$D$6</f>
        <v/>
      </c>
      <c r="AL4" s="8">
        <f>AL3*Inputs!$D$6</f>
        <v/>
      </c>
    </row>
    <row r="5">
      <c r="A5" s="2" t="inlineStr">
        <is>
          <t>Conservative</t>
        </is>
      </c>
      <c r="B5" s="2" t="inlineStr">
        <is>
          <t>Collaborative events</t>
        </is>
      </c>
      <c r="C5" s="7">
        <f>Inputs!$D$7*(1+Inputs!$D$8)^(1-1)</f>
        <v/>
      </c>
      <c r="D5" s="7">
        <f>Inputs!$D$7*(1+Inputs!$D$8)^(2-1)</f>
        <v/>
      </c>
      <c r="E5" s="7">
        <f>Inputs!$D$7*(1+Inputs!$D$8)^(3-1)</f>
        <v/>
      </c>
      <c r="F5" s="7">
        <f>Inputs!$D$7*(1+Inputs!$D$8)^(4-1)</f>
        <v/>
      </c>
      <c r="G5" s="7">
        <f>Inputs!$D$7*(1+Inputs!$D$8)^(5-1)</f>
        <v/>
      </c>
      <c r="H5" s="7">
        <f>Inputs!$D$7*(1+Inputs!$D$8)^(6-1)</f>
        <v/>
      </c>
      <c r="I5" s="7">
        <f>Inputs!$D$7*(1+Inputs!$D$8)^(7-1)</f>
        <v/>
      </c>
      <c r="J5" s="7">
        <f>Inputs!$D$7*(1+Inputs!$D$8)^(8-1)</f>
        <v/>
      </c>
      <c r="K5" s="7">
        <f>Inputs!$D$7*(1+Inputs!$D$8)^(9-1)</f>
        <v/>
      </c>
      <c r="L5" s="7">
        <f>Inputs!$D$7*(1+Inputs!$D$8)^(10-1)</f>
        <v/>
      </c>
      <c r="M5" s="7">
        <f>Inputs!$D$7*(1+Inputs!$D$8)^(11-1)</f>
        <v/>
      </c>
      <c r="N5" s="7">
        <f>Inputs!$D$7*(1+Inputs!$D$8)^(12-1)</f>
        <v/>
      </c>
      <c r="O5" s="7">
        <f>Inputs!$D$7*(1+Inputs!$D$8)^(13-1)</f>
        <v/>
      </c>
      <c r="P5" s="7">
        <f>Inputs!$D$7*(1+Inputs!$D$8)^(14-1)</f>
        <v/>
      </c>
      <c r="Q5" s="7">
        <f>Inputs!$D$7*(1+Inputs!$D$8)^(15-1)</f>
        <v/>
      </c>
      <c r="R5" s="7">
        <f>Inputs!$D$7*(1+Inputs!$D$8)^(16-1)</f>
        <v/>
      </c>
      <c r="S5" s="7">
        <f>Inputs!$D$7*(1+Inputs!$D$8)^(17-1)</f>
        <v/>
      </c>
      <c r="T5" s="7">
        <f>Inputs!$D$7*(1+Inputs!$D$8)^(18-1)</f>
        <v/>
      </c>
      <c r="U5" s="7">
        <f>Inputs!$D$7*(1+Inputs!$D$8)^(19-1)</f>
        <v/>
      </c>
      <c r="V5" s="7">
        <f>Inputs!$D$7*(1+Inputs!$D$8)^(20-1)</f>
        <v/>
      </c>
      <c r="W5" s="7">
        <f>Inputs!$D$7*(1+Inputs!$D$8)^(21-1)</f>
        <v/>
      </c>
      <c r="X5" s="7">
        <f>Inputs!$D$7*(1+Inputs!$D$8)^(22-1)</f>
        <v/>
      </c>
      <c r="Y5" s="7">
        <f>Inputs!$D$7*(1+Inputs!$D$8)^(23-1)</f>
        <v/>
      </c>
      <c r="Z5" s="7">
        <f>Inputs!$D$7*(1+Inputs!$D$8)^(24-1)</f>
        <v/>
      </c>
      <c r="AA5" s="7">
        <f>Inputs!$D$7*(1+Inputs!$D$8)^(25-1)</f>
        <v/>
      </c>
      <c r="AB5" s="7">
        <f>Inputs!$D$7*(1+Inputs!$D$8)^(26-1)</f>
        <v/>
      </c>
      <c r="AC5" s="7">
        <f>Inputs!$D$7*(1+Inputs!$D$8)^(27-1)</f>
        <v/>
      </c>
      <c r="AD5" s="7">
        <f>Inputs!$D$7*(1+Inputs!$D$8)^(28-1)</f>
        <v/>
      </c>
      <c r="AE5" s="7">
        <f>Inputs!$D$7*(1+Inputs!$D$8)^(29-1)</f>
        <v/>
      </c>
      <c r="AF5" s="7">
        <f>Inputs!$D$7*(1+Inputs!$D$8)^(30-1)</f>
        <v/>
      </c>
      <c r="AG5" s="7">
        <f>Inputs!$D$7*(1+Inputs!$D$8)^(31-1)</f>
        <v/>
      </c>
      <c r="AH5" s="7">
        <f>Inputs!$D$7*(1+Inputs!$D$8)^(32-1)</f>
        <v/>
      </c>
      <c r="AI5" s="7">
        <f>Inputs!$D$7*(1+Inputs!$D$8)^(33-1)</f>
        <v/>
      </c>
      <c r="AJ5" s="7">
        <f>Inputs!$D$7*(1+Inputs!$D$8)^(34-1)</f>
        <v/>
      </c>
      <c r="AK5" s="7">
        <f>Inputs!$D$7*(1+Inputs!$D$8)^(35-1)</f>
        <v/>
      </c>
      <c r="AL5" s="7">
        <f>Inputs!$D$7*(1+Inputs!$D$8)^(36-1)</f>
        <v/>
      </c>
    </row>
    <row r="6">
      <c r="A6" s="2" t="inlineStr">
        <is>
          <t>Conservative</t>
        </is>
      </c>
      <c r="B6" s="2" t="inlineStr">
        <is>
          <t>Event revenue</t>
        </is>
      </c>
      <c r="C6" s="8">
        <f>C5*Inputs!$D$9</f>
        <v/>
      </c>
      <c r="D6" s="8">
        <f>D5*Inputs!$D$9</f>
        <v/>
      </c>
      <c r="E6" s="8">
        <f>E5*Inputs!$D$9</f>
        <v/>
      </c>
      <c r="F6" s="8">
        <f>F5*Inputs!$D$9</f>
        <v/>
      </c>
      <c r="G6" s="8">
        <f>G5*Inputs!$D$9</f>
        <v/>
      </c>
      <c r="H6" s="8">
        <f>H5*Inputs!$D$9</f>
        <v/>
      </c>
      <c r="I6" s="8">
        <f>I5*Inputs!$D$9</f>
        <v/>
      </c>
      <c r="J6" s="8">
        <f>J5*Inputs!$D$9</f>
        <v/>
      </c>
      <c r="K6" s="8">
        <f>K5*Inputs!$D$9</f>
        <v/>
      </c>
      <c r="L6" s="8">
        <f>L5*Inputs!$D$9</f>
        <v/>
      </c>
      <c r="M6" s="8">
        <f>M5*Inputs!$D$9</f>
        <v/>
      </c>
      <c r="N6" s="8">
        <f>N5*Inputs!$D$9</f>
        <v/>
      </c>
      <c r="O6" s="8">
        <f>O5*Inputs!$D$9</f>
        <v/>
      </c>
      <c r="P6" s="8">
        <f>P5*Inputs!$D$9</f>
        <v/>
      </c>
      <c r="Q6" s="8">
        <f>Q5*Inputs!$D$9</f>
        <v/>
      </c>
      <c r="R6" s="8">
        <f>R5*Inputs!$D$9</f>
        <v/>
      </c>
      <c r="S6" s="8">
        <f>S5*Inputs!$D$9</f>
        <v/>
      </c>
      <c r="T6" s="8">
        <f>T5*Inputs!$D$9</f>
        <v/>
      </c>
      <c r="U6" s="8">
        <f>U5*Inputs!$D$9</f>
        <v/>
      </c>
      <c r="V6" s="8">
        <f>V5*Inputs!$D$9</f>
        <v/>
      </c>
      <c r="W6" s="8">
        <f>W5*Inputs!$D$9</f>
        <v/>
      </c>
      <c r="X6" s="8">
        <f>X5*Inputs!$D$9</f>
        <v/>
      </c>
      <c r="Y6" s="8">
        <f>Y5*Inputs!$D$9</f>
        <v/>
      </c>
      <c r="Z6" s="8">
        <f>Z5*Inputs!$D$9</f>
        <v/>
      </c>
      <c r="AA6" s="8">
        <f>AA5*Inputs!$D$9</f>
        <v/>
      </c>
      <c r="AB6" s="8">
        <f>AB5*Inputs!$D$9</f>
        <v/>
      </c>
      <c r="AC6" s="8">
        <f>AC5*Inputs!$D$9</f>
        <v/>
      </c>
      <c r="AD6" s="8">
        <f>AD5*Inputs!$D$9</f>
        <v/>
      </c>
      <c r="AE6" s="8">
        <f>AE5*Inputs!$D$9</f>
        <v/>
      </c>
      <c r="AF6" s="8">
        <f>AF5*Inputs!$D$9</f>
        <v/>
      </c>
      <c r="AG6" s="8">
        <f>AG5*Inputs!$D$9</f>
        <v/>
      </c>
      <c r="AH6" s="8">
        <f>AH5*Inputs!$D$9</f>
        <v/>
      </c>
      <c r="AI6" s="8">
        <f>AI5*Inputs!$D$9</f>
        <v/>
      </c>
      <c r="AJ6" s="8">
        <f>AJ5*Inputs!$D$9</f>
        <v/>
      </c>
      <c r="AK6" s="8">
        <f>AK5*Inputs!$D$9</f>
        <v/>
      </c>
      <c r="AL6" s="8">
        <f>AL5*Inputs!$D$9</f>
        <v/>
      </c>
    </row>
    <row r="7">
      <c r="A7" s="2" t="inlineStr">
        <is>
          <t>Conservative</t>
        </is>
      </c>
      <c r="B7" s="2" t="inlineStr">
        <is>
          <t>Automation/services revenue</t>
        </is>
      </c>
      <c r="C7" s="8">
        <f>Inputs!$D$11*(1+Inputs!$D$12)^(1-1)</f>
        <v/>
      </c>
      <c r="D7" s="8">
        <f>Inputs!$D$11*(1+Inputs!$D$12)^(2-1)</f>
        <v/>
      </c>
      <c r="E7" s="8">
        <f>Inputs!$D$11*(1+Inputs!$D$12)^(3-1)</f>
        <v/>
      </c>
      <c r="F7" s="8">
        <f>Inputs!$D$11*(1+Inputs!$D$12)^(4-1)</f>
        <v/>
      </c>
      <c r="G7" s="8">
        <f>Inputs!$D$11*(1+Inputs!$D$12)^(5-1)</f>
        <v/>
      </c>
      <c r="H7" s="8">
        <f>Inputs!$D$11*(1+Inputs!$D$12)^(6-1)</f>
        <v/>
      </c>
      <c r="I7" s="8">
        <f>Inputs!$D$11*(1+Inputs!$D$12)^(7-1)</f>
        <v/>
      </c>
      <c r="J7" s="8">
        <f>Inputs!$D$11*(1+Inputs!$D$12)^(8-1)</f>
        <v/>
      </c>
      <c r="K7" s="8">
        <f>Inputs!$D$11*(1+Inputs!$D$12)^(9-1)</f>
        <v/>
      </c>
      <c r="L7" s="8">
        <f>Inputs!$D$11*(1+Inputs!$D$12)^(10-1)</f>
        <v/>
      </c>
      <c r="M7" s="8">
        <f>Inputs!$D$11*(1+Inputs!$D$12)^(11-1)</f>
        <v/>
      </c>
      <c r="N7" s="8">
        <f>Inputs!$D$11*(1+Inputs!$D$12)^(12-1)</f>
        <v/>
      </c>
      <c r="O7" s="8">
        <f>Inputs!$D$11*(1+Inputs!$D$12)^(13-1)</f>
        <v/>
      </c>
      <c r="P7" s="8">
        <f>Inputs!$D$11*(1+Inputs!$D$12)^(14-1)</f>
        <v/>
      </c>
      <c r="Q7" s="8">
        <f>Inputs!$D$11*(1+Inputs!$D$12)^(15-1)</f>
        <v/>
      </c>
      <c r="R7" s="8">
        <f>Inputs!$D$11*(1+Inputs!$D$12)^(16-1)</f>
        <v/>
      </c>
      <c r="S7" s="8">
        <f>Inputs!$D$11*(1+Inputs!$D$12)^(17-1)</f>
        <v/>
      </c>
      <c r="T7" s="8">
        <f>Inputs!$D$11*(1+Inputs!$D$12)^(18-1)</f>
        <v/>
      </c>
      <c r="U7" s="8">
        <f>Inputs!$D$11*(1+Inputs!$D$12)^(19-1)</f>
        <v/>
      </c>
      <c r="V7" s="8">
        <f>Inputs!$D$11*(1+Inputs!$D$12)^(20-1)</f>
        <v/>
      </c>
      <c r="W7" s="8">
        <f>Inputs!$D$11*(1+Inputs!$D$12)^(21-1)</f>
        <v/>
      </c>
      <c r="X7" s="8">
        <f>Inputs!$D$11*(1+Inputs!$D$12)^(22-1)</f>
        <v/>
      </c>
      <c r="Y7" s="8">
        <f>Inputs!$D$11*(1+Inputs!$D$12)^(23-1)</f>
        <v/>
      </c>
      <c r="Z7" s="8">
        <f>Inputs!$D$11*(1+Inputs!$D$12)^(24-1)</f>
        <v/>
      </c>
      <c r="AA7" s="8">
        <f>Inputs!$D$11*(1+Inputs!$D$12)^(25-1)</f>
        <v/>
      </c>
      <c r="AB7" s="8">
        <f>Inputs!$D$11*(1+Inputs!$D$12)^(26-1)</f>
        <v/>
      </c>
      <c r="AC7" s="8">
        <f>Inputs!$D$11*(1+Inputs!$D$12)^(27-1)</f>
        <v/>
      </c>
      <c r="AD7" s="8">
        <f>Inputs!$D$11*(1+Inputs!$D$12)^(28-1)</f>
        <v/>
      </c>
      <c r="AE7" s="8">
        <f>Inputs!$D$11*(1+Inputs!$D$12)^(29-1)</f>
        <v/>
      </c>
      <c r="AF7" s="8">
        <f>Inputs!$D$11*(1+Inputs!$D$12)^(30-1)</f>
        <v/>
      </c>
      <c r="AG7" s="8">
        <f>Inputs!$D$11*(1+Inputs!$D$12)^(31-1)</f>
        <v/>
      </c>
      <c r="AH7" s="8">
        <f>Inputs!$D$11*(1+Inputs!$D$12)^(32-1)</f>
        <v/>
      </c>
      <c r="AI7" s="8">
        <f>Inputs!$D$11*(1+Inputs!$D$12)^(33-1)</f>
        <v/>
      </c>
      <c r="AJ7" s="8">
        <f>Inputs!$D$11*(1+Inputs!$D$12)^(34-1)</f>
        <v/>
      </c>
      <c r="AK7" s="8">
        <f>Inputs!$D$11*(1+Inputs!$D$12)^(35-1)</f>
        <v/>
      </c>
      <c r="AL7" s="8">
        <f>Inputs!$D$11*(1+Inputs!$D$12)^(36-1)</f>
        <v/>
      </c>
    </row>
    <row r="8">
      <c r="A8" s="2" t="inlineStr">
        <is>
          <t>Conservative</t>
        </is>
      </c>
      <c r="B8" s="2" t="inlineStr">
        <is>
          <t>Merch net revenue</t>
        </is>
      </c>
      <c r="C8" s="8">
        <f>IF(1&lt;Inputs!$D$13,0,Inputs!$D$14*(1+Inputs!$D$15)^(1-Inputs!$D$13)*Inputs!$D$16)</f>
        <v/>
      </c>
      <c r="D8" s="8">
        <f>IF(2&lt;Inputs!$D$13,0,Inputs!$D$14*(1+Inputs!$D$15)^(2-Inputs!$D$13)*Inputs!$D$16)</f>
        <v/>
      </c>
      <c r="E8" s="8">
        <f>IF(3&lt;Inputs!$D$13,0,Inputs!$D$14*(1+Inputs!$D$15)^(3-Inputs!$D$13)*Inputs!$D$16)</f>
        <v/>
      </c>
      <c r="F8" s="8">
        <f>IF(4&lt;Inputs!$D$13,0,Inputs!$D$14*(1+Inputs!$D$15)^(4-Inputs!$D$13)*Inputs!$D$16)</f>
        <v/>
      </c>
      <c r="G8" s="8">
        <f>IF(5&lt;Inputs!$D$13,0,Inputs!$D$14*(1+Inputs!$D$15)^(5-Inputs!$D$13)*Inputs!$D$16)</f>
        <v/>
      </c>
      <c r="H8" s="8">
        <f>IF(6&lt;Inputs!$D$13,0,Inputs!$D$14*(1+Inputs!$D$15)^(6-Inputs!$D$13)*Inputs!$D$16)</f>
        <v/>
      </c>
      <c r="I8" s="8">
        <f>IF(7&lt;Inputs!$D$13,0,Inputs!$D$14*(1+Inputs!$D$15)^(7-Inputs!$D$13)*Inputs!$D$16)</f>
        <v/>
      </c>
      <c r="J8" s="8">
        <f>IF(8&lt;Inputs!$D$13,0,Inputs!$D$14*(1+Inputs!$D$15)^(8-Inputs!$D$13)*Inputs!$D$16)</f>
        <v/>
      </c>
      <c r="K8" s="8">
        <f>IF(9&lt;Inputs!$D$13,0,Inputs!$D$14*(1+Inputs!$D$15)^(9-Inputs!$D$13)*Inputs!$D$16)</f>
        <v/>
      </c>
      <c r="L8" s="8">
        <f>IF(10&lt;Inputs!$D$13,0,Inputs!$D$14*(1+Inputs!$D$15)^(10-Inputs!$D$13)*Inputs!$D$16)</f>
        <v/>
      </c>
      <c r="M8" s="8">
        <f>IF(11&lt;Inputs!$D$13,0,Inputs!$D$14*(1+Inputs!$D$15)^(11-Inputs!$D$13)*Inputs!$D$16)</f>
        <v/>
      </c>
      <c r="N8" s="8">
        <f>IF(12&lt;Inputs!$D$13,0,Inputs!$D$14*(1+Inputs!$D$15)^(12-Inputs!$D$13)*Inputs!$D$16)</f>
        <v/>
      </c>
      <c r="O8" s="8">
        <f>IF(13&lt;Inputs!$D$13,0,Inputs!$D$14*(1+Inputs!$D$15)^(13-Inputs!$D$13)*Inputs!$D$16)</f>
        <v/>
      </c>
      <c r="P8" s="8">
        <f>IF(14&lt;Inputs!$D$13,0,Inputs!$D$14*(1+Inputs!$D$15)^(14-Inputs!$D$13)*Inputs!$D$16)</f>
        <v/>
      </c>
      <c r="Q8" s="8">
        <f>IF(15&lt;Inputs!$D$13,0,Inputs!$D$14*(1+Inputs!$D$15)^(15-Inputs!$D$13)*Inputs!$D$16)</f>
        <v/>
      </c>
      <c r="R8" s="8">
        <f>IF(16&lt;Inputs!$D$13,0,Inputs!$D$14*(1+Inputs!$D$15)^(16-Inputs!$D$13)*Inputs!$D$16)</f>
        <v/>
      </c>
      <c r="S8" s="8">
        <f>IF(17&lt;Inputs!$D$13,0,Inputs!$D$14*(1+Inputs!$D$15)^(17-Inputs!$D$13)*Inputs!$D$16)</f>
        <v/>
      </c>
      <c r="T8" s="8">
        <f>IF(18&lt;Inputs!$D$13,0,Inputs!$D$14*(1+Inputs!$D$15)^(18-Inputs!$D$13)*Inputs!$D$16)</f>
        <v/>
      </c>
      <c r="U8" s="8">
        <f>IF(19&lt;Inputs!$D$13,0,Inputs!$D$14*(1+Inputs!$D$15)^(19-Inputs!$D$13)*Inputs!$D$16)</f>
        <v/>
      </c>
      <c r="V8" s="8">
        <f>IF(20&lt;Inputs!$D$13,0,Inputs!$D$14*(1+Inputs!$D$15)^(20-Inputs!$D$13)*Inputs!$D$16)</f>
        <v/>
      </c>
      <c r="W8" s="8">
        <f>IF(21&lt;Inputs!$D$13,0,Inputs!$D$14*(1+Inputs!$D$15)^(21-Inputs!$D$13)*Inputs!$D$16)</f>
        <v/>
      </c>
      <c r="X8" s="8">
        <f>IF(22&lt;Inputs!$D$13,0,Inputs!$D$14*(1+Inputs!$D$15)^(22-Inputs!$D$13)*Inputs!$D$16)</f>
        <v/>
      </c>
      <c r="Y8" s="8">
        <f>IF(23&lt;Inputs!$D$13,0,Inputs!$D$14*(1+Inputs!$D$15)^(23-Inputs!$D$13)*Inputs!$D$16)</f>
        <v/>
      </c>
      <c r="Z8" s="8">
        <f>IF(24&lt;Inputs!$D$13,0,Inputs!$D$14*(1+Inputs!$D$15)^(24-Inputs!$D$13)*Inputs!$D$16)</f>
        <v/>
      </c>
      <c r="AA8" s="8">
        <f>IF(25&lt;Inputs!$D$13,0,Inputs!$D$14*(1+Inputs!$D$15)^(25-Inputs!$D$13)*Inputs!$D$16)</f>
        <v/>
      </c>
      <c r="AB8" s="8">
        <f>IF(26&lt;Inputs!$D$13,0,Inputs!$D$14*(1+Inputs!$D$15)^(26-Inputs!$D$13)*Inputs!$D$16)</f>
        <v/>
      </c>
      <c r="AC8" s="8">
        <f>IF(27&lt;Inputs!$D$13,0,Inputs!$D$14*(1+Inputs!$D$15)^(27-Inputs!$D$13)*Inputs!$D$16)</f>
        <v/>
      </c>
      <c r="AD8" s="8">
        <f>IF(28&lt;Inputs!$D$13,0,Inputs!$D$14*(1+Inputs!$D$15)^(28-Inputs!$D$13)*Inputs!$D$16)</f>
        <v/>
      </c>
      <c r="AE8" s="8">
        <f>IF(29&lt;Inputs!$D$13,0,Inputs!$D$14*(1+Inputs!$D$15)^(29-Inputs!$D$13)*Inputs!$D$16)</f>
        <v/>
      </c>
      <c r="AF8" s="8">
        <f>IF(30&lt;Inputs!$D$13,0,Inputs!$D$14*(1+Inputs!$D$15)^(30-Inputs!$D$13)*Inputs!$D$16)</f>
        <v/>
      </c>
      <c r="AG8" s="8">
        <f>IF(31&lt;Inputs!$D$13,0,Inputs!$D$14*(1+Inputs!$D$15)^(31-Inputs!$D$13)*Inputs!$D$16)</f>
        <v/>
      </c>
      <c r="AH8" s="8">
        <f>IF(32&lt;Inputs!$D$13,0,Inputs!$D$14*(1+Inputs!$D$15)^(32-Inputs!$D$13)*Inputs!$D$16)</f>
        <v/>
      </c>
      <c r="AI8" s="8">
        <f>IF(33&lt;Inputs!$D$13,0,Inputs!$D$14*(1+Inputs!$D$15)^(33-Inputs!$D$13)*Inputs!$D$16)</f>
        <v/>
      </c>
      <c r="AJ8" s="8">
        <f>IF(34&lt;Inputs!$D$13,0,Inputs!$D$14*(1+Inputs!$D$15)^(34-Inputs!$D$13)*Inputs!$D$16)</f>
        <v/>
      </c>
      <c r="AK8" s="8">
        <f>IF(35&lt;Inputs!$D$13,0,Inputs!$D$14*(1+Inputs!$D$15)^(35-Inputs!$D$13)*Inputs!$D$16)</f>
        <v/>
      </c>
      <c r="AL8" s="8">
        <f>IF(36&lt;Inputs!$D$13,0,Inputs!$D$14*(1+Inputs!$D$15)^(36-Inputs!$D$13)*Inputs!$D$16)</f>
        <v/>
      </c>
    </row>
    <row r="9">
      <c r="A9" s="2" t="inlineStr">
        <is>
          <t>Conservative</t>
        </is>
      </c>
      <c r="B9" s="2" t="inlineStr">
        <is>
          <t>Operating revenue</t>
        </is>
      </c>
      <c r="C9" s="8">
        <f>SUM(C4,C6,C7,C8)</f>
        <v/>
      </c>
      <c r="D9" s="8">
        <f>SUM(D4,D6,D7,D8)</f>
        <v/>
      </c>
      <c r="E9" s="8">
        <f>SUM(E4,E6,E7,E8)</f>
        <v/>
      </c>
      <c r="F9" s="8">
        <f>SUM(F4,F6,F7,F8)</f>
        <v/>
      </c>
      <c r="G9" s="8">
        <f>SUM(G4,G6,G7,G8)</f>
        <v/>
      </c>
      <c r="H9" s="8">
        <f>SUM(H4,H6,H7,H8)</f>
        <v/>
      </c>
      <c r="I9" s="8">
        <f>SUM(I4,I6,I7,I8)</f>
        <v/>
      </c>
      <c r="J9" s="8">
        <f>SUM(J4,J6,J7,J8)</f>
        <v/>
      </c>
      <c r="K9" s="8">
        <f>SUM(K4,K6,K7,K8)</f>
        <v/>
      </c>
      <c r="L9" s="8">
        <f>SUM(L4,L6,L7,L8)</f>
        <v/>
      </c>
      <c r="M9" s="8">
        <f>SUM(M4,M6,M7,M8)</f>
        <v/>
      </c>
      <c r="N9" s="8">
        <f>SUM(N4,N6,N7,N8)</f>
        <v/>
      </c>
      <c r="O9" s="8">
        <f>SUM(O4,O6,O7,O8)</f>
        <v/>
      </c>
      <c r="P9" s="8">
        <f>SUM(P4,P6,P7,P8)</f>
        <v/>
      </c>
      <c r="Q9" s="8">
        <f>SUM(Q4,Q6,Q7,Q8)</f>
        <v/>
      </c>
      <c r="R9" s="8">
        <f>SUM(R4,R6,R7,R8)</f>
        <v/>
      </c>
      <c r="S9" s="8">
        <f>SUM(S4,S6,S7,S8)</f>
        <v/>
      </c>
      <c r="T9" s="8">
        <f>SUM(T4,T6,T7,T8)</f>
        <v/>
      </c>
      <c r="U9" s="8">
        <f>SUM(U4,U6,U7,U8)</f>
        <v/>
      </c>
      <c r="V9" s="8">
        <f>SUM(V4,V6,V7,V8)</f>
        <v/>
      </c>
      <c r="W9" s="8">
        <f>SUM(W4,W6,W7,W8)</f>
        <v/>
      </c>
      <c r="X9" s="8">
        <f>SUM(X4,X6,X7,X8)</f>
        <v/>
      </c>
      <c r="Y9" s="8">
        <f>SUM(Y4,Y6,Y7,Y8)</f>
        <v/>
      </c>
      <c r="Z9" s="8">
        <f>SUM(Z4,Z6,Z7,Z8)</f>
        <v/>
      </c>
      <c r="AA9" s="8">
        <f>SUM(AA4,AA6,AA7,AA8)</f>
        <v/>
      </c>
      <c r="AB9" s="8">
        <f>SUM(AB4,AB6,AB7,AB8)</f>
        <v/>
      </c>
      <c r="AC9" s="8">
        <f>SUM(AC4,AC6,AC7,AC8)</f>
        <v/>
      </c>
      <c r="AD9" s="8">
        <f>SUM(AD4,AD6,AD7,AD8)</f>
        <v/>
      </c>
      <c r="AE9" s="8">
        <f>SUM(AE4,AE6,AE7,AE8)</f>
        <v/>
      </c>
      <c r="AF9" s="8">
        <f>SUM(AF4,AF6,AF7,AF8)</f>
        <v/>
      </c>
      <c r="AG9" s="8">
        <f>SUM(AG4,AG6,AG7,AG8)</f>
        <v/>
      </c>
      <c r="AH9" s="8">
        <f>SUM(AH4,AH6,AH7,AH8)</f>
        <v/>
      </c>
      <c r="AI9" s="8">
        <f>SUM(AI4,AI6,AI7,AI8)</f>
        <v/>
      </c>
      <c r="AJ9" s="8">
        <f>SUM(AJ4,AJ6,AJ7,AJ8)</f>
        <v/>
      </c>
      <c r="AK9" s="8">
        <f>SUM(AK4,AK6,AK7,AK8)</f>
        <v/>
      </c>
      <c r="AL9" s="8">
        <f>SUM(AL4,AL6,AL7,AL8)</f>
        <v/>
      </c>
    </row>
    <row r="10">
      <c r="A10" s="2" t="inlineStr">
        <is>
          <t>Conservative</t>
        </is>
      </c>
      <c r="B10" s="2" t="inlineStr">
        <is>
          <t>Funding inflow</t>
        </is>
      </c>
      <c r="C10" s="8">
        <f>IF(AND(Inputs!$D$17&gt;0,1=Inputs!$D$17),Inputs!$D$18,0)</f>
        <v/>
      </c>
      <c r="D10" s="8">
        <f>IF(AND(Inputs!$D$17&gt;0,2=Inputs!$D$17),Inputs!$D$18,0)</f>
        <v/>
      </c>
      <c r="E10" s="8">
        <f>IF(AND(Inputs!$D$17&gt;0,3=Inputs!$D$17),Inputs!$D$18,0)</f>
        <v/>
      </c>
      <c r="F10" s="8">
        <f>IF(AND(Inputs!$D$17&gt;0,4=Inputs!$D$17),Inputs!$D$18,0)</f>
        <v/>
      </c>
      <c r="G10" s="8">
        <f>IF(AND(Inputs!$D$17&gt;0,5=Inputs!$D$17),Inputs!$D$18,0)</f>
        <v/>
      </c>
      <c r="H10" s="8">
        <f>IF(AND(Inputs!$D$17&gt;0,6=Inputs!$D$17),Inputs!$D$18,0)</f>
        <v/>
      </c>
      <c r="I10" s="8">
        <f>IF(AND(Inputs!$D$17&gt;0,7=Inputs!$D$17),Inputs!$D$18,0)</f>
        <v/>
      </c>
      <c r="J10" s="8">
        <f>IF(AND(Inputs!$D$17&gt;0,8=Inputs!$D$17),Inputs!$D$18,0)</f>
        <v/>
      </c>
      <c r="K10" s="8">
        <f>IF(AND(Inputs!$D$17&gt;0,9=Inputs!$D$17),Inputs!$D$18,0)</f>
        <v/>
      </c>
      <c r="L10" s="8">
        <f>IF(AND(Inputs!$D$17&gt;0,10=Inputs!$D$17),Inputs!$D$18,0)</f>
        <v/>
      </c>
      <c r="M10" s="8">
        <f>IF(AND(Inputs!$D$17&gt;0,11=Inputs!$D$17),Inputs!$D$18,0)</f>
        <v/>
      </c>
      <c r="N10" s="8">
        <f>IF(AND(Inputs!$D$17&gt;0,12=Inputs!$D$17),Inputs!$D$18,0)</f>
        <v/>
      </c>
      <c r="O10" s="8">
        <f>IF(AND(Inputs!$D$17&gt;0,13=Inputs!$D$17),Inputs!$D$18,0)</f>
        <v/>
      </c>
      <c r="P10" s="8">
        <f>IF(AND(Inputs!$D$17&gt;0,14=Inputs!$D$17),Inputs!$D$18,0)</f>
        <v/>
      </c>
      <c r="Q10" s="8">
        <f>IF(AND(Inputs!$D$17&gt;0,15=Inputs!$D$17),Inputs!$D$18,0)</f>
        <v/>
      </c>
      <c r="R10" s="8">
        <f>IF(AND(Inputs!$D$17&gt;0,16=Inputs!$D$17),Inputs!$D$18,0)</f>
        <v/>
      </c>
      <c r="S10" s="8">
        <f>IF(AND(Inputs!$D$17&gt;0,17=Inputs!$D$17),Inputs!$D$18,0)</f>
        <v/>
      </c>
      <c r="T10" s="8">
        <f>IF(AND(Inputs!$D$17&gt;0,18=Inputs!$D$17),Inputs!$D$18,0)</f>
        <v/>
      </c>
      <c r="U10" s="8">
        <f>IF(AND(Inputs!$D$17&gt;0,19=Inputs!$D$17),Inputs!$D$18,0)</f>
        <v/>
      </c>
      <c r="V10" s="8">
        <f>IF(AND(Inputs!$D$17&gt;0,20=Inputs!$D$17),Inputs!$D$18,0)</f>
        <v/>
      </c>
      <c r="W10" s="8">
        <f>IF(AND(Inputs!$D$17&gt;0,21=Inputs!$D$17),Inputs!$D$18,0)</f>
        <v/>
      </c>
      <c r="X10" s="8">
        <f>IF(AND(Inputs!$D$17&gt;0,22=Inputs!$D$17),Inputs!$D$18,0)</f>
        <v/>
      </c>
      <c r="Y10" s="8">
        <f>IF(AND(Inputs!$D$17&gt;0,23=Inputs!$D$17),Inputs!$D$18,0)</f>
        <v/>
      </c>
      <c r="Z10" s="8">
        <f>IF(AND(Inputs!$D$17&gt;0,24=Inputs!$D$17),Inputs!$D$18,0)</f>
        <v/>
      </c>
      <c r="AA10" s="8">
        <f>IF(AND(Inputs!$D$17&gt;0,25=Inputs!$D$17),Inputs!$D$18,0)</f>
        <v/>
      </c>
      <c r="AB10" s="8">
        <f>IF(AND(Inputs!$D$17&gt;0,26=Inputs!$D$17),Inputs!$D$18,0)</f>
        <v/>
      </c>
      <c r="AC10" s="8">
        <f>IF(AND(Inputs!$D$17&gt;0,27=Inputs!$D$17),Inputs!$D$18,0)</f>
        <v/>
      </c>
      <c r="AD10" s="8">
        <f>IF(AND(Inputs!$D$17&gt;0,28=Inputs!$D$17),Inputs!$D$18,0)</f>
        <v/>
      </c>
      <c r="AE10" s="8">
        <f>IF(AND(Inputs!$D$17&gt;0,29=Inputs!$D$17),Inputs!$D$18,0)</f>
        <v/>
      </c>
      <c r="AF10" s="8">
        <f>IF(AND(Inputs!$D$17&gt;0,30=Inputs!$D$17),Inputs!$D$18,0)</f>
        <v/>
      </c>
      <c r="AG10" s="8">
        <f>IF(AND(Inputs!$D$17&gt;0,31=Inputs!$D$17),Inputs!$D$18,0)</f>
        <v/>
      </c>
      <c r="AH10" s="8">
        <f>IF(AND(Inputs!$D$17&gt;0,32=Inputs!$D$17),Inputs!$D$18,0)</f>
        <v/>
      </c>
      <c r="AI10" s="8">
        <f>IF(AND(Inputs!$D$17&gt;0,33=Inputs!$D$17),Inputs!$D$18,0)</f>
        <v/>
      </c>
      <c r="AJ10" s="8">
        <f>IF(AND(Inputs!$D$17&gt;0,34=Inputs!$D$17),Inputs!$D$18,0)</f>
        <v/>
      </c>
      <c r="AK10" s="8">
        <f>IF(AND(Inputs!$D$17&gt;0,35=Inputs!$D$17),Inputs!$D$18,0)</f>
        <v/>
      </c>
      <c r="AL10" s="8">
        <f>IF(AND(Inputs!$D$17&gt;0,36=Inputs!$D$17),Inputs!$D$18,0)</f>
        <v/>
      </c>
    </row>
    <row r="11">
      <c r="A11" s="2" t="inlineStr">
        <is>
          <t>Conservative</t>
        </is>
      </c>
      <c r="B11" s="2" t="inlineStr">
        <is>
          <t>Payment + variable COGS</t>
        </is>
      </c>
      <c r="C11" s="8">
        <f>C9*Inputs!$D$26+(C4+C6+C8)*Inputs!$D$27+C2*Inputs!$D$30</f>
        <v/>
      </c>
      <c r="D11" s="8">
        <f>D9*Inputs!$D$26+(D4+D6+D8)*Inputs!$D$27+D2*Inputs!$D$30</f>
        <v/>
      </c>
      <c r="E11" s="8">
        <f>E9*Inputs!$D$26+(E4+E6+E8)*Inputs!$D$27+E2*Inputs!$D$30</f>
        <v/>
      </c>
      <c r="F11" s="8">
        <f>F9*Inputs!$D$26+(F4+F6+F8)*Inputs!$D$27+F2*Inputs!$D$30</f>
        <v/>
      </c>
      <c r="G11" s="8">
        <f>G9*Inputs!$D$26+(G4+G6+G8)*Inputs!$D$27+G2*Inputs!$D$30</f>
        <v/>
      </c>
      <c r="H11" s="8">
        <f>H9*Inputs!$D$26+(H4+H6+H8)*Inputs!$D$27+H2*Inputs!$D$30</f>
        <v/>
      </c>
      <c r="I11" s="8">
        <f>I9*Inputs!$D$26+(I4+I6+I8)*Inputs!$D$27+I2*Inputs!$D$30</f>
        <v/>
      </c>
      <c r="J11" s="8">
        <f>J9*Inputs!$D$26+(J4+J6+J8)*Inputs!$D$27+J2*Inputs!$D$30</f>
        <v/>
      </c>
      <c r="K11" s="8">
        <f>K9*Inputs!$D$26+(K4+K6+K8)*Inputs!$D$27+K2*Inputs!$D$30</f>
        <v/>
      </c>
      <c r="L11" s="8">
        <f>L9*Inputs!$D$26+(L4+L6+L8)*Inputs!$D$27+L2*Inputs!$D$30</f>
        <v/>
      </c>
      <c r="M11" s="8">
        <f>M9*Inputs!$D$26+(M4+M6+M8)*Inputs!$D$27+M2*Inputs!$D$30</f>
        <v/>
      </c>
      <c r="N11" s="8">
        <f>N9*Inputs!$D$26+(N4+N6+N8)*Inputs!$D$27+N2*Inputs!$D$30</f>
        <v/>
      </c>
      <c r="O11" s="8">
        <f>O9*Inputs!$D$26+(O4+O6+O8)*Inputs!$D$27+O2*Inputs!$D$30</f>
        <v/>
      </c>
      <c r="P11" s="8">
        <f>P9*Inputs!$D$26+(P4+P6+P8)*Inputs!$D$27+P2*Inputs!$D$30</f>
        <v/>
      </c>
      <c r="Q11" s="8">
        <f>Q9*Inputs!$D$26+(Q4+Q6+Q8)*Inputs!$D$27+Q2*Inputs!$D$30</f>
        <v/>
      </c>
      <c r="R11" s="8">
        <f>R9*Inputs!$D$26+(R4+R6+R8)*Inputs!$D$27+R2*Inputs!$D$30</f>
        <v/>
      </c>
      <c r="S11" s="8">
        <f>S9*Inputs!$D$26+(S4+S6+S8)*Inputs!$D$27+S2*Inputs!$D$30</f>
        <v/>
      </c>
      <c r="T11" s="8">
        <f>T9*Inputs!$D$26+(T4+T6+T8)*Inputs!$D$27+T2*Inputs!$D$30</f>
        <v/>
      </c>
      <c r="U11" s="8">
        <f>U9*Inputs!$D$26+(U4+U6+U8)*Inputs!$D$27+U2*Inputs!$D$30</f>
        <v/>
      </c>
      <c r="V11" s="8">
        <f>V9*Inputs!$D$26+(V4+V6+V8)*Inputs!$D$27+V2*Inputs!$D$30</f>
        <v/>
      </c>
      <c r="W11" s="8">
        <f>W9*Inputs!$D$26+(W4+W6+W8)*Inputs!$D$27+W2*Inputs!$D$30</f>
        <v/>
      </c>
      <c r="X11" s="8">
        <f>X9*Inputs!$D$26+(X4+X6+X8)*Inputs!$D$27+X2*Inputs!$D$30</f>
        <v/>
      </c>
      <c r="Y11" s="8">
        <f>Y9*Inputs!$D$26+(Y4+Y6+Y8)*Inputs!$D$27+Y2*Inputs!$D$30</f>
        <v/>
      </c>
      <c r="Z11" s="8">
        <f>Z9*Inputs!$D$26+(Z4+Z6+Z8)*Inputs!$D$27+Z2*Inputs!$D$30</f>
        <v/>
      </c>
      <c r="AA11" s="8">
        <f>AA9*Inputs!$D$26+(AA4+AA6+AA8)*Inputs!$D$27+AA2*Inputs!$D$30</f>
        <v/>
      </c>
      <c r="AB11" s="8">
        <f>AB9*Inputs!$D$26+(AB4+AB6+AB8)*Inputs!$D$27+AB2*Inputs!$D$30</f>
        <v/>
      </c>
      <c r="AC11" s="8">
        <f>AC9*Inputs!$D$26+(AC4+AC6+AC8)*Inputs!$D$27+AC2*Inputs!$D$30</f>
        <v/>
      </c>
      <c r="AD11" s="8">
        <f>AD9*Inputs!$D$26+(AD4+AD6+AD8)*Inputs!$D$27+AD2*Inputs!$D$30</f>
        <v/>
      </c>
      <c r="AE11" s="8">
        <f>AE9*Inputs!$D$26+(AE4+AE6+AE8)*Inputs!$D$27+AE2*Inputs!$D$30</f>
        <v/>
      </c>
      <c r="AF11" s="8">
        <f>AF9*Inputs!$D$26+(AF4+AF6+AF8)*Inputs!$D$27+AF2*Inputs!$D$30</f>
        <v/>
      </c>
      <c r="AG11" s="8">
        <f>AG9*Inputs!$D$26+(AG4+AG6+AG8)*Inputs!$D$27+AG2*Inputs!$D$30</f>
        <v/>
      </c>
      <c r="AH11" s="8">
        <f>AH9*Inputs!$D$26+(AH4+AH6+AH8)*Inputs!$D$27+AH2*Inputs!$D$30</f>
        <v/>
      </c>
      <c r="AI11" s="8">
        <f>AI9*Inputs!$D$26+(AI4+AI6+AI8)*Inputs!$D$27+AI2*Inputs!$D$30</f>
        <v/>
      </c>
      <c r="AJ11" s="8">
        <f>AJ9*Inputs!$D$26+(AJ4+AJ6+AJ8)*Inputs!$D$27+AJ2*Inputs!$D$30</f>
        <v/>
      </c>
      <c r="AK11" s="8">
        <f>AK9*Inputs!$D$26+(AK4+AK6+AK8)*Inputs!$D$27+AK2*Inputs!$D$30</f>
        <v/>
      </c>
      <c r="AL11" s="8">
        <f>AL9*Inputs!$D$26+(AL4+AL6+AL8)*Inputs!$D$27+AL2*Inputs!$D$30</f>
        <v/>
      </c>
    </row>
    <row r="12">
      <c r="A12" s="2" t="inlineStr">
        <is>
          <t>Conservative</t>
        </is>
      </c>
      <c r="B12" s="2" t="inlineStr">
        <is>
          <t>Partner event fees</t>
        </is>
      </c>
      <c r="C12" s="8">
        <f>C5*Inputs!$D$10</f>
        <v/>
      </c>
      <c r="D12" s="8">
        <f>D5*Inputs!$D$10</f>
        <v/>
      </c>
      <c r="E12" s="8">
        <f>E5*Inputs!$D$10</f>
        <v/>
      </c>
      <c r="F12" s="8">
        <f>F5*Inputs!$D$10</f>
        <v/>
      </c>
      <c r="G12" s="8">
        <f>G5*Inputs!$D$10</f>
        <v/>
      </c>
      <c r="H12" s="8">
        <f>H5*Inputs!$D$10</f>
        <v/>
      </c>
      <c r="I12" s="8">
        <f>I5*Inputs!$D$10</f>
        <v/>
      </c>
      <c r="J12" s="8">
        <f>J5*Inputs!$D$10</f>
        <v/>
      </c>
      <c r="K12" s="8">
        <f>K5*Inputs!$D$10</f>
        <v/>
      </c>
      <c r="L12" s="8">
        <f>L5*Inputs!$D$10</f>
        <v/>
      </c>
      <c r="M12" s="8">
        <f>M5*Inputs!$D$10</f>
        <v/>
      </c>
      <c r="N12" s="8">
        <f>N5*Inputs!$D$10</f>
        <v/>
      </c>
      <c r="O12" s="8">
        <f>O5*Inputs!$D$10</f>
        <v/>
      </c>
      <c r="P12" s="8">
        <f>P5*Inputs!$D$10</f>
        <v/>
      </c>
      <c r="Q12" s="8">
        <f>Q5*Inputs!$D$10</f>
        <v/>
      </c>
      <c r="R12" s="8">
        <f>R5*Inputs!$D$10</f>
        <v/>
      </c>
      <c r="S12" s="8">
        <f>S5*Inputs!$D$10</f>
        <v/>
      </c>
      <c r="T12" s="8">
        <f>T5*Inputs!$D$10</f>
        <v/>
      </c>
      <c r="U12" s="8">
        <f>U5*Inputs!$D$10</f>
        <v/>
      </c>
      <c r="V12" s="8">
        <f>V5*Inputs!$D$10</f>
        <v/>
      </c>
      <c r="W12" s="8">
        <f>W5*Inputs!$D$10</f>
        <v/>
      </c>
      <c r="X12" s="8">
        <f>X5*Inputs!$D$10</f>
        <v/>
      </c>
      <c r="Y12" s="8">
        <f>Y5*Inputs!$D$10</f>
        <v/>
      </c>
      <c r="Z12" s="8">
        <f>Z5*Inputs!$D$10</f>
        <v/>
      </c>
      <c r="AA12" s="8">
        <f>AA5*Inputs!$D$10</f>
        <v/>
      </c>
      <c r="AB12" s="8">
        <f>AB5*Inputs!$D$10</f>
        <v/>
      </c>
      <c r="AC12" s="8">
        <f>AC5*Inputs!$D$10</f>
        <v/>
      </c>
      <c r="AD12" s="8">
        <f>AD5*Inputs!$D$10</f>
        <v/>
      </c>
      <c r="AE12" s="8">
        <f>AE5*Inputs!$D$10</f>
        <v/>
      </c>
      <c r="AF12" s="8">
        <f>AF5*Inputs!$D$10</f>
        <v/>
      </c>
      <c r="AG12" s="8">
        <f>AG5*Inputs!$D$10</f>
        <v/>
      </c>
      <c r="AH12" s="8">
        <f>AH5*Inputs!$D$10</f>
        <v/>
      </c>
      <c r="AI12" s="8">
        <f>AI5*Inputs!$D$10</f>
        <v/>
      </c>
      <c r="AJ12" s="8">
        <f>AJ5*Inputs!$D$10</f>
        <v/>
      </c>
      <c r="AK12" s="8">
        <f>AK5*Inputs!$D$10</f>
        <v/>
      </c>
      <c r="AL12" s="8">
        <f>AL5*Inputs!$D$10</f>
        <v/>
      </c>
    </row>
    <row r="13">
      <c r="A13" s="2" t="inlineStr">
        <is>
          <t>Conservative</t>
        </is>
      </c>
      <c r="B13" s="2" t="inlineStr">
        <is>
          <t>Mission reserve (10%)</t>
        </is>
      </c>
      <c r="C13" s="8">
        <f>C9*Inputs!$D$29</f>
        <v/>
      </c>
      <c r="D13" s="8">
        <f>D9*Inputs!$D$29</f>
        <v/>
      </c>
      <c r="E13" s="8">
        <f>E9*Inputs!$D$29</f>
        <v/>
      </c>
      <c r="F13" s="8">
        <f>F9*Inputs!$D$29</f>
        <v/>
      </c>
      <c r="G13" s="8">
        <f>G9*Inputs!$D$29</f>
        <v/>
      </c>
      <c r="H13" s="8">
        <f>H9*Inputs!$D$29</f>
        <v/>
      </c>
      <c r="I13" s="8">
        <f>I9*Inputs!$D$29</f>
        <v/>
      </c>
      <c r="J13" s="8">
        <f>J9*Inputs!$D$29</f>
        <v/>
      </c>
      <c r="K13" s="8">
        <f>K9*Inputs!$D$29</f>
        <v/>
      </c>
      <c r="L13" s="8">
        <f>L9*Inputs!$D$29</f>
        <v/>
      </c>
      <c r="M13" s="8">
        <f>M9*Inputs!$D$29</f>
        <v/>
      </c>
      <c r="N13" s="8">
        <f>N9*Inputs!$D$29</f>
        <v/>
      </c>
      <c r="O13" s="8">
        <f>O9*Inputs!$D$29</f>
        <v/>
      </c>
      <c r="P13" s="8">
        <f>P9*Inputs!$D$29</f>
        <v/>
      </c>
      <c r="Q13" s="8">
        <f>Q9*Inputs!$D$29</f>
        <v/>
      </c>
      <c r="R13" s="8">
        <f>R9*Inputs!$D$29</f>
        <v/>
      </c>
      <c r="S13" s="8">
        <f>S9*Inputs!$D$29</f>
        <v/>
      </c>
      <c r="T13" s="8">
        <f>T9*Inputs!$D$29</f>
        <v/>
      </c>
      <c r="U13" s="8">
        <f>U9*Inputs!$D$29</f>
        <v/>
      </c>
      <c r="V13" s="8">
        <f>V9*Inputs!$D$29</f>
        <v/>
      </c>
      <c r="W13" s="8">
        <f>W9*Inputs!$D$29</f>
        <v/>
      </c>
      <c r="X13" s="8">
        <f>X9*Inputs!$D$29</f>
        <v/>
      </c>
      <c r="Y13" s="8">
        <f>Y9*Inputs!$D$29</f>
        <v/>
      </c>
      <c r="Z13" s="8">
        <f>Z9*Inputs!$D$29</f>
        <v/>
      </c>
      <c r="AA13" s="8">
        <f>AA9*Inputs!$D$29</f>
        <v/>
      </c>
      <c r="AB13" s="8">
        <f>AB9*Inputs!$D$29</f>
        <v/>
      </c>
      <c r="AC13" s="8">
        <f>AC9*Inputs!$D$29</f>
        <v/>
      </c>
      <c r="AD13" s="8">
        <f>AD9*Inputs!$D$29</f>
        <v/>
      </c>
      <c r="AE13" s="8">
        <f>AE9*Inputs!$D$29</f>
        <v/>
      </c>
      <c r="AF13" s="8">
        <f>AF9*Inputs!$D$29</f>
        <v/>
      </c>
      <c r="AG13" s="8">
        <f>AG9*Inputs!$D$29</f>
        <v/>
      </c>
      <c r="AH13" s="8">
        <f>AH9*Inputs!$D$29</f>
        <v/>
      </c>
      <c r="AI13" s="8">
        <f>AI9*Inputs!$D$29</f>
        <v/>
      </c>
      <c r="AJ13" s="8">
        <f>AJ9*Inputs!$D$29</f>
        <v/>
      </c>
      <c r="AK13" s="8">
        <f>AK9*Inputs!$D$29</f>
        <v/>
      </c>
      <c r="AL13" s="8">
        <f>AL9*Inputs!$D$29</f>
        <v/>
      </c>
    </row>
    <row r="14">
      <c r="A14" s="2" t="inlineStr">
        <is>
          <t>Conservative</t>
        </is>
      </c>
      <c r="B14" s="2" t="inlineStr">
        <is>
          <t>Fixed infra</t>
        </is>
      </c>
      <c r="C14" s="8">
        <f>Inputs!$D$19</f>
        <v/>
      </c>
      <c r="D14" s="8">
        <f>Inputs!$D$19</f>
        <v/>
      </c>
      <c r="E14" s="8">
        <f>Inputs!$D$19</f>
        <v/>
      </c>
      <c r="F14" s="8">
        <f>Inputs!$D$19</f>
        <v/>
      </c>
      <c r="G14" s="8">
        <f>Inputs!$D$19</f>
        <v/>
      </c>
      <c r="H14" s="8">
        <f>Inputs!$D$19</f>
        <v/>
      </c>
      <c r="I14" s="8">
        <f>Inputs!$D$19</f>
        <v/>
      </c>
      <c r="J14" s="8">
        <f>Inputs!$D$19</f>
        <v/>
      </c>
      <c r="K14" s="8">
        <f>Inputs!$D$19</f>
        <v/>
      </c>
      <c r="L14" s="8">
        <f>Inputs!$D$19</f>
        <v/>
      </c>
      <c r="M14" s="8">
        <f>Inputs!$D$19</f>
        <v/>
      </c>
      <c r="N14" s="8">
        <f>Inputs!$D$19</f>
        <v/>
      </c>
      <c r="O14" s="8">
        <f>Inputs!$D$19</f>
        <v/>
      </c>
      <c r="P14" s="8">
        <f>Inputs!$D$19</f>
        <v/>
      </c>
      <c r="Q14" s="8">
        <f>Inputs!$D$19</f>
        <v/>
      </c>
      <c r="R14" s="8">
        <f>Inputs!$D$19</f>
        <v/>
      </c>
      <c r="S14" s="8">
        <f>Inputs!$D$19</f>
        <v/>
      </c>
      <c r="T14" s="8">
        <f>Inputs!$D$19</f>
        <v/>
      </c>
      <c r="U14" s="8">
        <f>Inputs!$D$19</f>
        <v/>
      </c>
      <c r="V14" s="8">
        <f>Inputs!$D$19</f>
        <v/>
      </c>
      <c r="W14" s="8">
        <f>Inputs!$D$19</f>
        <v/>
      </c>
      <c r="X14" s="8">
        <f>Inputs!$D$19</f>
        <v/>
      </c>
      <c r="Y14" s="8">
        <f>Inputs!$D$19</f>
        <v/>
      </c>
      <c r="Z14" s="8">
        <f>Inputs!$D$19</f>
        <v/>
      </c>
      <c r="AA14" s="8">
        <f>Inputs!$D$19</f>
        <v/>
      </c>
      <c r="AB14" s="8">
        <f>Inputs!$D$19</f>
        <v/>
      </c>
      <c r="AC14" s="8">
        <f>Inputs!$D$19</f>
        <v/>
      </c>
      <c r="AD14" s="8">
        <f>Inputs!$D$19</f>
        <v/>
      </c>
      <c r="AE14" s="8">
        <f>Inputs!$D$19</f>
        <v/>
      </c>
      <c r="AF14" s="8">
        <f>Inputs!$D$19</f>
        <v/>
      </c>
      <c r="AG14" s="8">
        <f>Inputs!$D$19</f>
        <v/>
      </c>
      <c r="AH14" s="8">
        <f>Inputs!$D$19</f>
        <v/>
      </c>
      <c r="AI14" s="8">
        <f>Inputs!$D$19</f>
        <v/>
      </c>
      <c r="AJ14" s="8">
        <f>Inputs!$D$19</f>
        <v/>
      </c>
      <c r="AK14" s="8">
        <f>Inputs!$D$19</f>
        <v/>
      </c>
      <c r="AL14" s="8">
        <f>Inputs!$D$19</f>
        <v/>
      </c>
    </row>
    <row r="15">
      <c r="A15" s="2" t="inlineStr">
        <is>
          <t>Conservative</t>
        </is>
      </c>
      <c r="B15" s="2" t="inlineStr">
        <is>
          <t>AI/model/tooling</t>
        </is>
      </c>
      <c r="C15" s="8">
        <f>Inputs!$D$20</f>
        <v/>
      </c>
      <c r="D15" s="8">
        <f>Inputs!$D$20</f>
        <v/>
      </c>
      <c r="E15" s="8">
        <f>Inputs!$D$20</f>
        <v/>
      </c>
      <c r="F15" s="8">
        <f>Inputs!$D$20</f>
        <v/>
      </c>
      <c r="G15" s="8">
        <f>Inputs!$D$20</f>
        <v/>
      </c>
      <c r="H15" s="8">
        <f>Inputs!$D$20</f>
        <v/>
      </c>
      <c r="I15" s="8">
        <f>Inputs!$D$20</f>
        <v/>
      </c>
      <c r="J15" s="8">
        <f>Inputs!$D$20</f>
        <v/>
      </c>
      <c r="K15" s="8">
        <f>Inputs!$D$20</f>
        <v/>
      </c>
      <c r="L15" s="8">
        <f>Inputs!$D$20</f>
        <v/>
      </c>
      <c r="M15" s="8">
        <f>Inputs!$D$20</f>
        <v/>
      </c>
      <c r="N15" s="8">
        <f>Inputs!$D$20</f>
        <v/>
      </c>
      <c r="O15" s="8">
        <f>Inputs!$D$20</f>
        <v/>
      </c>
      <c r="P15" s="8">
        <f>Inputs!$D$20</f>
        <v/>
      </c>
      <c r="Q15" s="8">
        <f>Inputs!$D$20</f>
        <v/>
      </c>
      <c r="R15" s="8">
        <f>Inputs!$D$20</f>
        <v/>
      </c>
      <c r="S15" s="8">
        <f>Inputs!$D$20</f>
        <v/>
      </c>
      <c r="T15" s="8">
        <f>Inputs!$D$20</f>
        <v/>
      </c>
      <c r="U15" s="8">
        <f>Inputs!$D$20</f>
        <v/>
      </c>
      <c r="V15" s="8">
        <f>Inputs!$D$20</f>
        <v/>
      </c>
      <c r="W15" s="8">
        <f>Inputs!$D$20</f>
        <v/>
      </c>
      <c r="X15" s="8">
        <f>Inputs!$D$20</f>
        <v/>
      </c>
      <c r="Y15" s="8">
        <f>Inputs!$D$20</f>
        <v/>
      </c>
      <c r="Z15" s="8">
        <f>Inputs!$D$20</f>
        <v/>
      </c>
      <c r="AA15" s="8">
        <f>Inputs!$D$20</f>
        <v/>
      </c>
      <c r="AB15" s="8">
        <f>Inputs!$D$20</f>
        <v/>
      </c>
      <c r="AC15" s="8">
        <f>Inputs!$D$20</f>
        <v/>
      </c>
      <c r="AD15" s="8">
        <f>Inputs!$D$20</f>
        <v/>
      </c>
      <c r="AE15" s="8">
        <f>Inputs!$D$20</f>
        <v/>
      </c>
      <c r="AF15" s="8">
        <f>Inputs!$D$20</f>
        <v/>
      </c>
      <c r="AG15" s="8">
        <f>Inputs!$D$20</f>
        <v/>
      </c>
      <c r="AH15" s="8">
        <f>Inputs!$D$20</f>
        <v/>
      </c>
      <c r="AI15" s="8">
        <f>Inputs!$D$20</f>
        <v/>
      </c>
      <c r="AJ15" s="8">
        <f>Inputs!$D$20</f>
        <v/>
      </c>
      <c r="AK15" s="8">
        <f>Inputs!$D$20</f>
        <v/>
      </c>
      <c r="AL15" s="8">
        <f>Inputs!$D$20</f>
        <v/>
      </c>
    </row>
    <row r="16">
      <c r="A16" s="2" t="inlineStr">
        <is>
          <t>Conservative</t>
        </is>
      </c>
      <c r="B16" s="2" t="inlineStr">
        <is>
          <t>Marketing/community spend</t>
        </is>
      </c>
      <c r="C16" s="8">
        <f>Inputs!$D$21</f>
        <v/>
      </c>
      <c r="D16" s="8">
        <f>Inputs!$D$21</f>
        <v/>
      </c>
      <c r="E16" s="8">
        <f>Inputs!$D$21</f>
        <v/>
      </c>
      <c r="F16" s="8">
        <f>Inputs!$D$21</f>
        <v/>
      </c>
      <c r="G16" s="8">
        <f>Inputs!$D$21</f>
        <v/>
      </c>
      <c r="H16" s="8">
        <f>Inputs!$D$21</f>
        <v/>
      </c>
      <c r="I16" s="8">
        <f>Inputs!$D$21</f>
        <v/>
      </c>
      <c r="J16" s="8">
        <f>Inputs!$D$21</f>
        <v/>
      </c>
      <c r="K16" s="8">
        <f>Inputs!$D$21</f>
        <v/>
      </c>
      <c r="L16" s="8">
        <f>Inputs!$D$21</f>
        <v/>
      </c>
      <c r="M16" s="8">
        <f>Inputs!$D$21</f>
        <v/>
      </c>
      <c r="N16" s="8">
        <f>Inputs!$D$21</f>
        <v/>
      </c>
      <c r="O16" s="8">
        <f>Inputs!$D$21</f>
        <v/>
      </c>
      <c r="P16" s="8">
        <f>Inputs!$D$21</f>
        <v/>
      </c>
      <c r="Q16" s="8">
        <f>Inputs!$D$21</f>
        <v/>
      </c>
      <c r="R16" s="8">
        <f>Inputs!$D$21</f>
        <v/>
      </c>
      <c r="S16" s="8">
        <f>Inputs!$D$21</f>
        <v/>
      </c>
      <c r="T16" s="8">
        <f>Inputs!$D$21</f>
        <v/>
      </c>
      <c r="U16" s="8">
        <f>Inputs!$D$21</f>
        <v/>
      </c>
      <c r="V16" s="8">
        <f>Inputs!$D$21</f>
        <v/>
      </c>
      <c r="W16" s="8">
        <f>Inputs!$D$21</f>
        <v/>
      </c>
      <c r="X16" s="8">
        <f>Inputs!$D$21</f>
        <v/>
      </c>
      <c r="Y16" s="8">
        <f>Inputs!$D$21</f>
        <v/>
      </c>
      <c r="Z16" s="8">
        <f>Inputs!$D$21</f>
        <v/>
      </c>
      <c r="AA16" s="8">
        <f>Inputs!$D$21</f>
        <v/>
      </c>
      <c r="AB16" s="8">
        <f>Inputs!$D$21</f>
        <v/>
      </c>
      <c r="AC16" s="8">
        <f>Inputs!$D$21</f>
        <v/>
      </c>
      <c r="AD16" s="8">
        <f>Inputs!$D$21</f>
        <v/>
      </c>
      <c r="AE16" s="8">
        <f>Inputs!$D$21</f>
        <v/>
      </c>
      <c r="AF16" s="8">
        <f>Inputs!$D$21</f>
        <v/>
      </c>
      <c r="AG16" s="8">
        <f>Inputs!$D$21</f>
        <v/>
      </c>
      <c r="AH16" s="8">
        <f>Inputs!$D$21</f>
        <v/>
      </c>
      <c r="AI16" s="8">
        <f>Inputs!$D$21</f>
        <v/>
      </c>
      <c r="AJ16" s="8">
        <f>Inputs!$D$21</f>
        <v/>
      </c>
      <c r="AK16" s="8">
        <f>Inputs!$D$21</f>
        <v/>
      </c>
      <c r="AL16" s="8">
        <f>Inputs!$D$21</f>
        <v/>
      </c>
    </row>
    <row r="17">
      <c r="A17" s="2" t="inlineStr">
        <is>
          <t>Conservative</t>
        </is>
      </c>
      <c r="B17" s="2" t="inlineStr">
        <is>
          <t>Contractor/dev support</t>
        </is>
      </c>
      <c r="C17" s="8">
        <f>Inputs!$D$22</f>
        <v/>
      </c>
      <c r="D17" s="8">
        <f>Inputs!$D$22</f>
        <v/>
      </c>
      <c r="E17" s="8">
        <f>Inputs!$D$22</f>
        <v/>
      </c>
      <c r="F17" s="8">
        <f>Inputs!$D$22</f>
        <v/>
      </c>
      <c r="G17" s="8">
        <f>Inputs!$D$22</f>
        <v/>
      </c>
      <c r="H17" s="8">
        <f>Inputs!$D$22</f>
        <v/>
      </c>
      <c r="I17" s="8">
        <f>Inputs!$D$22</f>
        <v/>
      </c>
      <c r="J17" s="8">
        <f>Inputs!$D$22</f>
        <v/>
      </c>
      <c r="K17" s="8">
        <f>Inputs!$D$22</f>
        <v/>
      </c>
      <c r="L17" s="8">
        <f>Inputs!$D$22</f>
        <v/>
      </c>
      <c r="M17" s="8">
        <f>Inputs!$D$22</f>
        <v/>
      </c>
      <c r="N17" s="8">
        <f>Inputs!$D$22</f>
        <v/>
      </c>
      <c r="O17" s="8">
        <f>Inputs!$D$22</f>
        <v/>
      </c>
      <c r="P17" s="8">
        <f>Inputs!$D$22</f>
        <v/>
      </c>
      <c r="Q17" s="8">
        <f>Inputs!$D$22</f>
        <v/>
      </c>
      <c r="R17" s="8">
        <f>Inputs!$D$22</f>
        <v/>
      </c>
      <c r="S17" s="8">
        <f>Inputs!$D$22</f>
        <v/>
      </c>
      <c r="T17" s="8">
        <f>Inputs!$D$22</f>
        <v/>
      </c>
      <c r="U17" s="8">
        <f>Inputs!$D$22</f>
        <v/>
      </c>
      <c r="V17" s="8">
        <f>Inputs!$D$22</f>
        <v/>
      </c>
      <c r="W17" s="8">
        <f>Inputs!$D$22</f>
        <v/>
      </c>
      <c r="X17" s="8">
        <f>Inputs!$D$22</f>
        <v/>
      </c>
      <c r="Y17" s="8">
        <f>Inputs!$D$22</f>
        <v/>
      </c>
      <c r="Z17" s="8">
        <f>Inputs!$D$22</f>
        <v/>
      </c>
      <c r="AA17" s="8">
        <f>Inputs!$D$22</f>
        <v/>
      </c>
      <c r="AB17" s="8">
        <f>Inputs!$D$22</f>
        <v/>
      </c>
      <c r="AC17" s="8">
        <f>Inputs!$D$22</f>
        <v/>
      </c>
      <c r="AD17" s="8">
        <f>Inputs!$D$22</f>
        <v/>
      </c>
      <c r="AE17" s="8">
        <f>Inputs!$D$22</f>
        <v/>
      </c>
      <c r="AF17" s="8">
        <f>Inputs!$D$22</f>
        <v/>
      </c>
      <c r="AG17" s="8">
        <f>Inputs!$D$22</f>
        <v/>
      </c>
      <c r="AH17" s="8">
        <f>Inputs!$D$22</f>
        <v/>
      </c>
      <c r="AI17" s="8">
        <f>Inputs!$D$22</f>
        <v/>
      </c>
      <c r="AJ17" s="8">
        <f>Inputs!$D$22</f>
        <v/>
      </c>
      <c r="AK17" s="8">
        <f>Inputs!$D$22</f>
        <v/>
      </c>
      <c r="AL17" s="8">
        <f>Inputs!$D$22</f>
        <v/>
      </c>
    </row>
    <row r="18">
      <c r="A18" s="2" t="inlineStr">
        <is>
          <t>Conservative</t>
        </is>
      </c>
      <c r="B18" s="2" t="inlineStr">
        <is>
          <t>Compliance/legal reserve</t>
        </is>
      </c>
      <c r="C18" s="8">
        <f>Inputs!$D$23</f>
        <v/>
      </c>
      <c r="D18" s="8">
        <f>Inputs!$D$23</f>
        <v/>
      </c>
      <c r="E18" s="8">
        <f>Inputs!$D$23</f>
        <v/>
      </c>
      <c r="F18" s="8">
        <f>Inputs!$D$23</f>
        <v/>
      </c>
      <c r="G18" s="8">
        <f>Inputs!$D$23</f>
        <v/>
      </c>
      <c r="H18" s="8">
        <f>Inputs!$D$23</f>
        <v/>
      </c>
      <c r="I18" s="8">
        <f>Inputs!$D$23</f>
        <v/>
      </c>
      <c r="J18" s="8">
        <f>Inputs!$D$23</f>
        <v/>
      </c>
      <c r="K18" s="8">
        <f>Inputs!$D$23</f>
        <v/>
      </c>
      <c r="L18" s="8">
        <f>Inputs!$D$23</f>
        <v/>
      </c>
      <c r="M18" s="8">
        <f>Inputs!$D$23</f>
        <v/>
      </c>
      <c r="N18" s="8">
        <f>Inputs!$D$23</f>
        <v/>
      </c>
      <c r="O18" s="8">
        <f>Inputs!$D$23</f>
        <v/>
      </c>
      <c r="P18" s="8">
        <f>Inputs!$D$23</f>
        <v/>
      </c>
      <c r="Q18" s="8">
        <f>Inputs!$D$23</f>
        <v/>
      </c>
      <c r="R18" s="8">
        <f>Inputs!$D$23</f>
        <v/>
      </c>
      <c r="S18" s="8">
        <f>Inputs!$D$23</f>
        <v/>
      </c>
      <c r="T18" s="8">
        <f>Inputs!$D$23</f>
        <v/>
      </c>
      <c r="U18" s="8">
        <f>Inputs!$D$23</f>
        <v/>
      </c>
      <c r="V18" s="8">
        <f>Inputs!$D$23</f>
        <v/>
      </c>
      <c r="W18" s="8">
        <f>Inputs!$D$23</f>
        <v/>
      </c>
      <c r="X18" s="8">
        <f>Inputs!$D$23</f>
        <v/>
      </c>
      <c r="Y18" s="8">
        <f>Inputs!$D$23</f>
        <v/>
      </c>
      <c r="Z18" s="8">
        <f>Inputs!$D$23</f>
        <v/>
      </c>
      <c r="AA18" s="8">
        <f>Inputs!$D$23</f>
        <v/>
      </c>
      <c r="AB18" s="8">
        <f>Inputs!$D$23</f>
        <v/>
      </c>
      <c r="AC18" s="8">
        <f>Inputs!$D$23</f>
        <v/>
      </c>
      <c r="AD18" s="8">
        <f>Inputs!$D$23</f>
        <v/>
      </c>
      <c r="AE18" s="8">
        <f>Inputs!$D$23</f>
        <v/>
      </c>
      <c r="AF18" s="8">
        <f>Inputs!$D$23</f>
        <v/>
      </c>
      <c r="AG18" s="8">
        <f>Inputs!$D$23</f>
        <v/>
      </c>
      <c r="AH18" s="8">
        <f>Inputs!$D$23</f>
        <v/>
      </c>
      <c r="AI18" s="8">
        <f>Inputs!$D$23</f>
        <v/>
      </c>
      <c r="AJ18" s="8">
        <f>Inputs!$D$23</f>
        <v/>
      </c>
      <c r="AK18" s="8">
        <f>Inputs!$D$23</f>
        <v/>
      </c>
      <c r="AL18" s="8">
        <f>Inputs!$D$23</f>
        <v/>
      </c>
    </row>
    <row r="19">
      <c r="A19" s="2" t="inlineStr">
        <is>
          <t>Conservative</t>
        </is>
      </c>
      <c r="B19" s="2" t="inlineStr">
        <is>
          <t>DAO/security/legal milestone</t>
        </is>
      </c>
      <c r="C19" s="8">
        <f>IF(AND(Inputs!$D$24&gt;0,1=Inputs!$D$24),Inputs!$D$25,0)</f>
        <v/>
      </c>
      <c r="D19" s="8">
        <f>IF(AND(Inputs!$D$24&gt;0,2=Inputs!$D$24),Inputs!$D$25,0)</f>
        <v/>
      </c>
      <c r="E19" s="8">
        <f>IF(AND(Inputs!$D$24&gt;0,3=Inputs!$D$24),Inputs!$D$25,0)</f>
        <v/>
      </c>
      <c r="F19" s="8">
        <f>IF(AND(Inputs!$D$24&gt;0,4=Inputs!$D$24),Inputs!$D$25,0)</f>
        <v/>
      </c>
      <c r="G19" s="8">
        <f>IF(AND(Inputs!$D$24&gt;0,5=Inputs!$D$24),Inputs!$D$25,0)</f>
        <v/>
      </c>
      <c r="H19" s="8">
        <f>IF(AND(Inputs!$D$24&gt;0,6=Inputs!$D$24),Inputs!$D$25,0)</f>
        <v/>
      </c>
      <c r="I19" s="8">
        <f>IF(AND(Inputs!$D$24&gt;0,7=Inputs!$D$24),Inputs!$D$25,0)</f>
        <v/>
      </c>
      <c r="J19" s="8">
        <f>IF(AND(Inputs!$D$24&gt;0,8=Inputs!$D$24),Inputs!$D$25,0)</f>
        <v/>
      </c>
      <c r="K19" s="8">
        <f>IF(AND(Inputs!$D$24&gt;0,9=Inputs!$D$24),Inputs!$D$25,0)</f>
        <v/>
      </c>
      <c r="L19" s="8">
        <f>IF(AND(Inputs!$D$24&gt;0,10=Inputs!$D$24),Inputs!$D$25,0)</f>
        <v/>
      </c>
      <c r="M19" s="8">
        <f>IF(AND(Inputs!$D$24&gt;0,11=Inputs!$D$24),Inputs!$D$25,0)</f>
        <v/>
      </c>
      <c r="N19" s="8">
        <f>IF(AND(Inputs!$D$24&gt;0,12=Inputs!$D$24),Inputs!$D$25,0)</f>
        <v/>
      </c>
      <c r="O19" s="8">
        <f>IF(AND(Inputs!$D$24&gt;0,13=Inputs!$D$24),Inputs!$D$25,0)</f>
        <v/>
      </c>
      <c r="P19" s="8">
        <f>IF(AND(Inputs!$D$24&gt;0,14=Inputs!$D$24),Inputs!$D$25,0)</f>
        <v/>
      </c>
      <c r="Q19" s="8">
        <f>IF(AND(Inputs!$D$24&gt;0,15=Inputs!$D$24),Inputs!$D$25,0)</f>
        <v/>
      </c>
      <c r="R19" s="8">
        <f>IF(AND(Inputs!$D$24&gt;0,16=Inputs!$D$24),Inputs!$D$25,0)</f>
        <v/>
      </c>
      <c r="S19" s="8">
        <f>IF(AND(Inputs!$D$24&gt;0,17=Inputs!$D$24),Inputs!$D$25,0)</f>
        <v/>
      </c>
      <c r="T19" s="8">
        <f>IF(AND(Inputs!$D$24&gt;0,18=Inputs!$D$24),Inputs!$D$25,0)</f>
        <v/>
      </c>
      <c r="U19" s="8">
        <f>IF(AND(Inputs!$D$24&gt;0,19=Inputs!$D$24),Inputs!$D$25,0)</f>
        <v/>
      </c>
      <c r="V19" s="8">
        <f>IF(AND(Inputs!$D$24&gt;0,20=Inputs!$D$24),Inputs!$D$25,0)</f>
        <v/>
      </c>
      <c r="W19" s="8">
        <f>IF(AND(Inputs!$D$24&gt;0,21=Inputs!$D$24),Inputs!$D$25,0)</f>
        <v/>
      </c>
      <c r="X19" s="8">
        <f>IF(AND(Inputs!$D$24&gt;0,22=Inputs!$D$24),Inputs!$D$25,0)</f>
        <v/>
      </c>
      <c r="Y19" s="8">
        <f>IF(AND(Inputs!$D$24&gt;0,23=Inputs!$D$24),Inputs!$D$25,0)</f>
        <v/>
      </c>
      <c r="Z19" s="8">
        <f>IF(AND(Inputs!$D$24&gt;0,24=Inputs!$D$24),Inputs!$D$25,0)</f>
        <v/>
      </c>
      <c r="AA19" s="8">
        <f>IF(AND(Inputs!$D$24&gt;0,25=Inputs!$D$24),Inputs!$D$25,0)</f>
        <v/>
      </c>
      <c r="AB19" s="8">
        <f>IF(AND(Inputs!$D$24&gt;0,26=Inputs!$D$24),Inputs!$D$25,0)</f>
        <v/>
      </c>
      <c r="AC19" s="8">
        <f>IF(AND(Inputs!$D$24&gt;0,27=Inputs!$D$24),Inputs!$D$25,0)</f>
        <v/>
      </c>
      <c r="AD19" s="8">
        <f>IF(AND(Inputs!$D$24&gt;0,28=Inputs!$D$24),Inputs!$D$25,0)</f>
        <v/>
      </c>
      <c r="AE19" s="8">
        <f>IF(AND(Inputs!$D$24&gt;0,29=Inputs!$D$24),Inputs!$D$25,0)</f>
        <v/>
      </c>
      <c r="AF19" s="8">
        <f>IF(AND(Inputs!$D$24&gt;0,30=Inputs!$D$24),Inputs!$D$25,0)</f>
        <v/>
      </c>
      <c r="AG19" s="8">
        <f>IF(AND(Inputs!$D$24&gt;0,31=Inputs!$D$24),Inputs!$D$25,0)</f>
        <v/>
      </c>
      <c r="AH19" s="8">
        <f>IF(AND(Inputs!$D$24&gt;0,32=Inputs!$D$24),Inputs!$D$25,0)</f>
        <v/>
      </c>
      <c r="AI19" s="8">
        <f>IF(AND(Inputs!$D$24&gt;0,33=Inputs!$D$24),Inputs!$D$25,0)</f>
        <v/>
      </c>
      <c r="AJ19" s="8">
        <f>IF(AND(Inputs!$D$24&gt;0,34=Inputs!$D$24),Inputs!$D$25,0)</f>
        <v/>
      </c>
      <c r="AK19" s="8">
        <f>IF(AND(Inputs!$D$24&gt;0,35=Inputs!$D$24),Inputs!$D$25,0)</f>
        <v/>
      </c>
      <c r="AL19" s="8">
        <f>IF(AND(Inputs!$D$24&gt;0,36=Inputs!$D$24),Inputs!$D$25,0)</f>
        <v/>
      </c>
    </row>
    <row r="20">
      <c r="A20" s="2" t="inlineStr">
        <is>
          <t>Conservative</t>
        </is>
      </c>
      <c r="B20" s="2" t="inlineStr">
        <is>
          <t>Tax planning reserve</t>
        </is>
      </c>
      <c r="C20" s="8">
        <f>MAX((C9-C11-C12-C13-C14-C15-C16-C17-C18-C19),0)*Inputs!$D$28</f>
        <v/>
      </c>
      <c r="D20" s="8">
        <f>MAX((D9-D11-D12-D13-D14-D15-D16-D17-D18-D19),0)*Inputs!$D$28</f>
        <v/>
      </c>
      <c r="E20" s="8">
        <f>MAX((E9-E11-E12-E13-E14-E15-E16-E17-E18-E19),0)*Inputs!$D$28</f>
        <v/>
      </c>
      <c r="F20" s="8">
        <f>MAX((F9-F11-F12-F13-F14-F15-F16-F17-F18-F19),0)*Inputs!$D$28</f>
        <v/>
      </c>
      <c r="G20" s="8">
        <f>MAX((G9-G11-G12-G13-G14-G15-G16-G17-G18-G19),0)*Inputs!$D$28</f>
        <v/>
      </c>
      <c r="H20" s="8">
        <f>MAX((H9-H11-H12-H13-H14-H15-H16-H17-H18-H19),0)*Inputs!$D$28</f>
        <v/>
      </c>
      <c r="I20" s="8">
        <f>MAX((I9-I11-I12-I13-I14-I15-I16-I17-I18-I19),0)*Inputs!$D$28</f>
        <v/>
      </c>
      <c r="J20" s="8">
        <f>MAX((J9-J11-J12-J13-J14-J15-J16-J17-J18-J19),0)*Inputs!$D$28</f>
        <v/>
      </c>
      <c r="K20" s="8">
        <f>MAX((K9-K11-K12-K13-K14-K15-K16-K17-K18-K19),0)*Inputs!$D$28</f>
        <v/>
      </c>
      <c r="L20" s="8">
        <f>MAX((L9-L11-L12-L13-L14-L15-L16-L17-L18-L19),0)*Inputs!$D$28</f>
        <v/>
      </c>
      <c r="M20" s="8">
        <f>MAX((M9-M11-M12-M13-M14-M15-M16-M17-M18-M19),0)*Inputs!$D$28</f>
        <v/>
      </c>
      <c r="N20" s="8">
        <f>MAX((N9-N11-N12-N13-N14-N15-N16-N17-N18-N19),0)*Inputs!$D$28</f>
        <v/>
      </c>
      <c r="O20" s="8">
        <f>MAX((O9-O11-O12-O13-O14-O15-O16-O17-O18-O19),0)*Inputs!$D$28</f>
        <v/>
      </c>
      <c r="P20" s="8">
        <f>MAX((P9-P11-P12-P13-P14-P15-P16-P17-P18-P19),0)*Inputs!$D$28</f>
        <v/>
      </c>
      <c r="Q20" s="8">
        <f>MAX((Q9-Q11-Q12-Q13-Q14-Q15-Q16-Q17-Q18-Q19),0)*Inputs!$D$28</f>
        <v/>
      </c>
      <c r="R20" s="8">
        <f>MAX((R9-R11-R12-R13-R14-R15-R16-R17-R18-R19),0)*Inputs!$D$28</f>
        <v/>
      </c>
      <c r="S20" s="8">
        <f>MAX((S9-S11-S12-S13-S14-S15-S16-S17-S18-S19),0)*Inputs!$D$28</f>
        <v/>
      </c>
      <c r="T20" s="8">
        <f>MAX((T9-T11-T12-T13-T14-T15-T16-T17-T18-T19),0)*Inputs!$D$28</f>
        <v/>
      </c>
      <c r="U20" s="8">
        <f>MAX((U9-U11-U12-U13-U14-U15-U16-U17-U18-U19),0)*Inputs!$D$28</f>
        <v/>
      </c>
      <c r="V20" s="8">
        <f>MAX((V9-V11-V12-V13-V14-V15-V16-V17-V18-V19),0)*Inputs!$D$28</f>
        <v/>
      </c>
      <c r="W20" s="8">
        <f>MAX((W9-W11-W12-W13-W14-W15-W16-W17-W18-W19),0)*Inputs!$D$28</f>
        <v/>
      </c>
      <c r="X20" s="8">
        <f>MAX((X9-X11-X12-X13-X14-X15-X16-X17-X18-X19),0)*Inputs!$D$28</f>
        <v/>
      </c>
      <c r="Y20" s="8">
        <f>MAX((Y9-Y11-Y12-Y13-Y14-Y15-Y16-Y17-Y18-Y19),0)*Inputs!$D$28</f>
        <v/>
      </c>
      <c r="Z20" s="8">
        <f>MAX((Z9-Z11-Z12-Z13-Z14-Z15-Z16-Z17-Z18-Z19),0)*Inputs!$D$28</f>
        <v/>
      </c>
      <c r="AA20" s="8">
        <f>MAX((AA9-AA11-AA12-AA13-AA14-AA15-AA16-AA17-AA18-AA19),0)*Inputs!$D$28</f>
        <v/>
      </c>
      <c r="AB20" s="8">
        <f>MAX((AB9-AB11-AB12-AB13-AB14-AB15-AB16-AB17-AB18-AB19),0)*Inputs!$D$28</f>
        <v/>
      </c>
      <c r="AC20" s="8">
        <f>MAX((AC9-AC11-AC12-AC13-AC14-AC15-AC16-AC17-AC18-AC19),0)*Inputs!$D$28</f>
        <v/>
      </c>
      <c r="AD20" s="8">
        <f>MAX((AD9-AD11-AD12-AD13-AD14-AD15-AD16-AD17-AD18-AD19),0)*Inputs!$D$28</f>
        <v/>
      </c>
      <c r="AE20" s="8">
        <f>MAX((AE9-AE11-AE12-AE13-AE14-AE15-AE16-AE17-AE18-AE19),0)*Inputs!$D$28</f>
        <v/>
      </c>
      <c r="AF20" s="8">
        <f>MAX((AF9-AF11-AF12-AF13-AF14-AF15-AF16-AF17-AF18-AF19),0)*Inputs!$D$28</f>
        <v/>
      </c>
      <c r="AG20" s="8">
        <f>MAX((AG9-AG11-AG12-AG13-AG14-AG15-AG16-AG17-AG18-AG19),0)*Inputs!$D$28</f>
        <v/>
      </c>
      <c r="AH20" s="8">
        <f>MAX((AH9-AH11-AH12-AH13-AH14-AH15-AH16-AH17-AH18-AH19),0)*Inputs!$D$28</f>
        <v/>
      </c>
      <c r="AI20" s="8">
        <f>MAX((AI9-AI11-AI12-AI13-AI14-AI15-AI16-AI17-AI18-AI19),0)*Inputs!$D$28</f>
        <v/>
      </c>
      <c r="AJ20" s="8">
        <f>MAX((AJ9-AJ11-AJ12-AJ13-AJ14-AJ15-AJ16-AJ17-AJ18-AJ19),0)*Inputs!$D$28</f>
        <v/>
      </c>
      <c r="AK20" s="8">
        <f>MAX((AK9-AK11-AK12-AK13-AK14-AK15-AK16-AK17-AK18-AK19),0)*Inputs!$D$28</f>
        <v/>
      </c>
      <c r="AL20" s="8">
        <f>MAX((AL9-AL11-AL12-AL13-AL14-AL15-AL16-AL17-AL18-AL19),0)*Inputs!$D$28</f>
        <v/>
      </c>
    </row>
    <row r="21">
      <c r="A21" s="2" t="inlineStr">
        <is>
          <t>Conservative</t>
        </is>
      </c>
      <c r="B21" s="2" t="inlineStr">
        <is>
          <t>Total cash out/reserves</t>
        </is>
      </c>
      <c r="C21" s="8">
        <f>SUM(C11:C20)</f>
        <v/>
      </c>
      <c r="D21" s="8">
        <f>SUM(D11:D20)</f>
        <v/>
      </c>
      <c r="E21" s="8">
        <f>SUM(E11:E20)</f>
        <v/>
      </c>
      <c r="F21" s="8">
        <f>SUM(F11:F20)</f>
        <v/>
      </c>
      <c r="G21" s="8">
        <f>SUM(G11:G20)</f>
        <v/>
      </c>
      <c r="H21" s="8">
        <f>SUM(H11:H20)</f>
        <v/>
      </c>
      <c r="I21" s="8">
        <f>SUM(I11:I20)</f>
        <v/>
      </c>
      <c r="J21" s="8">
        <f>SUM(J11:J20)</f>
        <v/>
      </c>
      <c r="K21" s="8">
        <f>SUM(K11:K20)</f>
        <v/>
      </c>
      <c r="L21" s="8">
        <f>SUM(L11:L20)</f>
        <v/>
      </c>
      <c r="M21" s="8">
        <f>SUM(M11:M20)</f>
        <v/>
      </c>
      <c r="N21" s="8">
        <f>SUM(N11:N20)</f>
        <v/>
      </c>
      <c r="O21" s="8">
        <f>SUM(O11:O20)</f>
        <v/>
      </c>
      <c r="P21" s="8">
        <f>SUM(P11:P20)</f>
        <v/>
      </c>
      <c r="Q21" s="8">
        <f>SUM(Q11:Q20)</f>
        <v/>
      </c>
      <c r="R21" s="8">
        <f>SUM(R11:R20)</f>
        <v/>
      </c>
      <c r="S21" s="8">
        <f>SUM(S11:S20)</f>
        <v/>
      </c>
      <c r="T21" s="8">
        <f>SUM(T11:T20)</f>
        <v/>
      </c>
      <c r="U21" s="8">
        <f>SUM(U11:U20)</f>
        <v/>
      </c>
      <c r="V21" s="8">
        <f>SUM(V11:V20)</f>
        <v/>
      </c>
      <c r="W21" s="8">
        <f>SUM(W11:W20)</f>
        <v/>
      </c>
      <c r="X21" s="8">
        <f>SUM(X11:X20)</f>
        <v/>
      </c>
      <c r="Y21" s="8">
        <f>SUM(Y11:Y20)</f>
        <v/>
      </c>
      <c r="Z21" s="8">
        <f>SUM(Z11:Z20)</f>
        <v/>
      </c>
      <c r="AA21" s="8">
        <f>SUM(AA11:AA20)</f>
        <v/>
      </c>
      <c r="AB21" s="8">
        <f>SUM(AB11:AB20)</f>
        <v/>
      </c>
      <c r="AC21" s="8">
        <f>SUM(AC11:AC20)</f>
        <v/>
      </c>
      <c r="AD21" s="8">
        <f>SUM(AD11:AD20)</f>
        <v/>
      </c>
      <c r="AE21" s="8">
        <f>SUM(AE11:AE20)</f>
        <v/>
      </c>
      <c r="AF21" s="8">
        <f>SUM(AF11:AF20)</f>
        <v/>
      </c>
      <c r="AG21" s="8">
        <f>SUM(AG11:AG20)</f>
        <v/>
      </c>
      <c r="AH21" s="8">
        <f>SUM(AH11:AH20)</f>
        <v/>
      </c>
      <c r="AI21" s="8">
        <f>SUM(AI11:AI20)</f>
        <v/>
      </c>
      <c r="AJ21" s="8">
        <f>SUM(AJ11:AJ20)</f>
        <v/>
      </c>
      <c r="AK21" s="8">
        <f>SUM(AK11:AK20)</f>
        <v/>
      </c>
      <c r="AL21" s="8">
        <f>SUM(AL11:AL20)</f>
        <v/>
      </c>
    </row>
    <row r="22">
      <c r="A22" s="2" t="inlineStr">
        <is>
          <t>Conservative</t>
        </is>
      </c>
      <c r="B22" s="2" t="inlineStr">
        <is>
          <t>Operating net cash flow</t>
        </is>
      </c>
      <c r="C22" s="8">
        <f>C9-C21</f>
        <v/>
      </c>
      <c r="D22" s="8">
        <f>D9-D21</f>
        <v/>
      </c>
      <c r="E22" s="8">
        <f>E9-E21</f>
        <v/>
      </c>
      <c r="F22" s="8">
        <f>F9-F21</f>
        <v/>
      </c>
      <c r="G22" s="8">
        <f>G9-G21</f>
        <v/>
      </c>
      <c r="H22" s="8">
        <f>H9-H21</f>
        <v/>
      </c>
      <c r="I22" s="8">
        <f>I9-I21</f>
        <v/>
      </c>
      <c r="J22" s="8">
        <f>J9-J21</f>
        <v/>
      </c>
      <c r="K22" s="8">
        <f>K9-K21</f>
        <v/>
      </c>
      <c r="L22" s="8">
        <f>L9-L21</f>
        <v/>
      </c>
      <c r="M22" s="8">
        <f>M9-M21</f>
        <v/>
      </c>
      <c r="N22" s="8">
        <f>N9-N21</f>
        <v/>
      </c>
      <c r="O22" s="8">
        <f>O9-O21</f>
        <v/>
      </c>
      <c r="P22" s="8">
        <f>P9-P21</f>
        <v/>
      </c>
      <c r="Q22" s="8">
        <f>Q9-Q21</f>
        <v/>
      </c>
      <c r="R22" s="8">
        <f>R9-R21</f>
        <v/>
      </c>
      <c r="S22" s="8">
        <f>S9-S21</f>
        <v/>
      </c>
      <c r="T22" s="8">
        <f>T9-T21</f>
        <v/>
      </c>
      <c r="U22" s="8">
        <f>U9-U21</f>
        <v/>
      </c>
      <c r="V22" s="8">
        <f>V9-V21</f>
        <v/>
      </c>
      <c r="W22" s="8">
        <f>W9-W21</f>
        <v/>
      </c>
      <c r="X22" s="8">
        <f>X9-X21</f>
        <v/>
      </c>
      <c r="Y22" s="8">
        <f>Y9-Y21</f>
        <v/>
      </c>
      <c r="Z22" s="8">
        <f>Z9-Z21</f>
        <v/>
      </c>
      <c r="AA22" s="8">
        <f>AA9-AA21</f>
        <v/>
      </c>
      <c r="AB22" s="8">
        <f>AB9-AB21</f>
        <v/>
      </c>
      <c r="AC22" s="8">
        <f>AC9-AC21</f>
        <v/>
      </c>
      <c r="AD22" s="8">
        <f>AD9-AD21</f>
        <v/>
      </c>
      <c r="AE22" s="8">
        <f>AE9-AE21</f>
        <v/>
      </c>
      <c r="AF22" s="8">
        <f>AF9-AF21</f>
        <v/>
      </c>
      <c r="AG22" s="8">
        <f>AG9-AG21</f>
        <v/>
      </c>
      <c r="AH22" s="8">
        <f>AH9-AH21</f>
        <v/>
      </c>
      <c r="AI22" s="8">
        <f>AI9-AI21</f>
        <v/>
      </c>
      <c r="AJ22" s="8">
        <f>AJ9-AJ21</f>
        <v/>
      </c>
      <c r="AK22" s="8">
        <f>AK9-AK21</f>
        <v/>
      </c>
      <c r="AL22" s="8">
        <f>AL9-AL21</f>
        <v/>
      </c>
    </row>
    <row r="23">
      <c r="A23" s="2" t="inlineStr">
        <is>
          <t>Conservative</t>
        </is>
      </c>
      <c r="B23" s="2" t="inlineStr">
        <is>
          <t>Net cash flow incl. funding</t>
        </is>
      </c>
      <c r="C23" s="8">
        <f>C22+C10</f>
        <v/>
      </c>
      <c r="D23" s="8">
        <f>D22+D10</f>
        <v/>
      </c>
      <c r="E23" s="8">
        <f>E22+E10</f>
        <v/>
      </c>
      <c r="F23" s="8">
        <f>F22+F10</f>
        <v/>
      </c>
      <c r="G23" s="8">
        <f>G22+G10</f>
        <v/>
      </c>
      <c r="H23" s="8">
        <f>H22+H10</f>
        <v/>
      </c>
      <c r="I23" s="8">
        <f>I22+I10</f>
        <v/>
      </c>
      <c r="J23" s="8">
        <f>J22+J10</f>
        <v/>
      </c>
      <c r="K23" s="8">
        <f>K22+K10</f>
        <v/>
      </c>
      <c r="L23" s="8">
        <f>L22+L10</f>
        <v/>
      </c>
      <c r="M23" s="8">
        <f>M22+M10</f>
        <v/>
      </c>
      <c r="N23" s="8">
        <f>N22+N10</f>
        <v/>
      </c>
      <c r="O23" s="8">
        <f>O22+O10</f>
        <v/>
      </c>
      <c r="P23" s="8">
        <f>P22+P10</f>
        <v/>
      </c>
      <c r="Q23" s="8">
        <f>Q22+Q10</f>
        <v/>
      </c>
      <c r="R23" s="8">
        <f>R22+R10</f>
        <v/>
      </c>
      <c r="S23" s="8">
        <f>S22+S10</f>
        <v/>
      </c>
      <c r="T23" s="8">
        <f>T22+T10</f>
        <v/>
      </c>
      <c r="U23" s="8">
        <f>U22+U10</f>
        <v/>
      </c>
      <c r="V23" s="8">
        <f>V22+V10</f>
        <v/>
      </c>
      <c r="W23" s="8">
        <f>W22+W10</f>
        <v/>
      </c>
      <c r="X23" s="8">
        <f>X22+X10</f>
        <v/>
      </c>
      <c r="Y23" s="8">
        <f>Y22+Y10</f>
        <v/>
      </c>
      <c r="Z23" s="8">
        <f>Z22+Z10</f>
        <v/>
      </c>
      <c r="AA23" s="8">
        <f>AA22+AA10</f>
        <v/>
      </c>
      <c r="AB23" s="8">
        <f>AB22+AB10</f>
        <v/>
      </c>
      <c r="AC23" s="8">
        <f>AC22+AC10</f>
        <v/>
      </c>
      <c r="AD23" s="8">
        <f>AD22+AD10</f>
        <v/>
      </c>
      <c r="AE23" s="8">
        <f>AE22+AE10</f>
        <v/>
      </c>
      <c r="AF23" s="8">
        <f>AF22+AF10</f>
        <v/>
      </c>
      <c r="AG23" s="8">
        <f>AG22+AG10</f>
        <v/>
      </c>
      <c r="AH23" s="8">
        <f>AH22+AH10</f>
        <v/>
      </c>
      <c r="AI23" s="8">
        <f>AI22+AI10</f>
        <v/>
      </c>
      <c r="AJ23" s="8">
        <f>AJ22+AJ10</f>
        <v/>
      </c>
      <c r="AK23" s="8">
        <f>AK22+AK10</f>
        <v/>
      </c>
      <c r="AL23" s="8">
        <f>AL22+AL10</f>
        <v/>
      </c>
    </row>
    <row r="24">
      <c r="A24" s="2" t="inlineStr">
        <is>
          <t>Conservative</t>
        </is>
      </c>
      <c r="B24" s="2" t="inlineStr">
        <is>
          <t>Cumulative cash</t>
        </is>
      </c>
      <c r="C24" s="8">
        <f>Inputs!$D$2+C23</f>
        <v/>
      </c>
      <c r="D24" s="8">
        <f>C24+D23</f>
        <v/>
      </c>
      <c r="E24" s="8">
        <f>D24+E23</f>
        <v/>
      </c>
      <c r="F24" s="8">
        <f>E24+F23</f>
        <v/>
      </c>
      <c r="G24" s="8">
        <f>F24+G23</f>
        <v/>
      </c>
      <c r="H24" s="8">
        <f>G24+H23</f>
        <v/>
      </c>
      <c r="I24" s="8">
        <f>H24+I23</f>
        <v/>
      </c>
      <c r="J24" s="8">
        <f>I24+J23</f>
        <v/>
      </c>
      <c r="K24" s="8">
        <f>J24+K23</f>
        <v/>
      </c>
      <c r="L24" s="8">
        <f>K24+L23</f>
        <v/>
      </c>
      <c r="M24" s="8">
        <f>L24+M23</f>
        <v/>
      </c>
      <c r="N24" s="8">
        <f>M24+N23</f>
        <v/>
      </c>
      <c r="O24" s="8">
        <f>N24+O23</f>
        <v/>
      </c>
      <c r="P24" s="8">
        <f>O24+P23</f>
        <v/>
      </c>
      <c r="Q24" s="8">
        <f>P24+Q23</f>
        <v/>
      </c>
      <c r="R24" s="8">
        <f>Q24+R23</f>
        <v/>
      </c>
      <c r="S24" s="8">
        <f>R24+S23</f>
        <v/>
      </c>
      <c r="T24" s="8">
        <f>S24+T23</f>
        <v/>
      </c>
      <c r="U24" s="8">
        <f>T24+U23</f>
        <v/>
      </c>
      <c r="V24" s="8">
        <f>U24+V23</f>
        <v/>
      </c>
      <c r="W24" s="8">
        <f>V24+W23</f>
        <v/>
      </c>
      <c r="X24" s="8">
        <f>W24+X23</f>
        <v/>
      </c>
      <c r="Y24" s="8">
        <f>X24+Y23</f>
        <v/>
      </c>
      <c r="Z24" s="8">
        <f>Y24+Z23</f>
        <v/>
      </c>
      <c r="AA24" s="8">
        <f>Z24+AA23</f>
        <v/>
      </c>
      <c r="AB24" s="8">
        <f>AA24+AB23</f>
        <v/>
      </c>
      <c r="AC24" s="8">
        <f>AB24+AC23</f>
        <v/>
      </c>
      <c r="AD24" s="8">
        <f>AC24+AD23</f>
        <v/>
      </c>
      <c r="AE24" s="8">
        <f>AD24+AE23</f>
        <v/>
      </c>
      <c r="AF24" s="8">
        <f>AE24+AF23</f>
        <v/>
      </c>
      <c r="AG24" s="8">
        <f>AF24+AG23</f>
        <v/>
      </c>
      <c r="AH24" s="8">
        <f>AG24+AH23</f>
        <v/>
      </c>
      <c r="AI24" s="8">
        <f>AH24+AI23</f>
        <v/>
      </c>
      <c r="AJ24" s="8">
        <f>AI24+AJ23</f>
        <v/>
      </c>
      <c r="AK24" s="8">
        <f>AJ24+AK23</f>
        <v/>
      </c>
      <c r="AL24" s="8">
        <f>AK24+AL23</f>
        <v/>
      </c>
    </row>
    <row r="25">
      <c r="A25" s="2" t="inlineStr">
        <is>
          <t>Conservative</t>
        </is>
      </c>
      <c r="B25" s="2" t="inlineStr">
        <is>
          <t>Runway status</t>
        </is>
      </c>
      <c r="C25" s="2">
        <f>IF(C24&lt;0,"OUT","OK")</f>
        <v/>
      </c>
      <c r="D25" s="2">
        <f>IF(D24&lt;0,"OUT","OK")</f>
        <v/>
      </c>
      <c r="E25" s="2">
        <f>IF(E24&lt;0,"OUT","OK")</f>
        <v/>
      </c>
      <c r="F25" s="2">
        <f>IF(F24&lt;0,"OUT","OK")</f>
        <v/>
      </c>
      <c r="G25" s="2">
        <f>IF(G24&lt;0,"OUT","OK")</f>
        <v/>
      </c>
      <c r="H25" s="2">
        <f>IF(H24&lt;0,"OUT","OK")</f>
        <v/>
      </c>
      <c r="I25" s="2">
        <f>IF(I24&lt;0,"OUT","OK")</f>
        <v/>
      </c>
      <c r="J25" s="2">
        <f>IF(J24&lt;0,"OUT","OK")</f>
        <v/>
      </c>
      <c r="K25" s="2">
        <f>IF(K24&lt;0,"OUT","OK")</f>
        <v/>
      </c>
      <c r="L25" s="2">
        <f>IF(L24&lt;0,"OUT","OK")</f>
        <v/>
      </c>
      <c r="M25" s="2">
        <f>IF(M24&lt;0,"OUT","OK")</f>
        <v/>
      </c>
      <c r="N25" s="2">
        <f>IF(N24&lt;0,"OUT","OK")</f>
        <v/>
      </c>
      <c r="O25" s="2">
        <f>IF(O24&lt;0,"OUT","OK")</f>
        <v/>
      </c>
      <c r="P25" s="2">
        <f>IF(P24&lt;0,"OUT","OK")</f>
        <v/>
      </c>
      <c r="Q25" s="2">
        <f>IF(Q24&lt;0,"OUT","OK")</f>
        <v/>
      </c>
      <c r="R25" s="2">
        <f>IF(R24&lt;0,"OUT","OK")</f>
        <v/>
      </c>
      <c r="S25" s="2">
        <f>IF(S24&lt;0,"OUT","OK")</f>
        <v/>
      </c>
      <c r="T25" s="2">
        <f>IF(T24&lt;0,"OUT","OK")</f>
        <v/>
      </c>
      <c r="U25" s="2">
        <f>IF(U24&lt;0,"OUT","OK")</f>
        <v/>
      </c>
      <c r="V25" s="2">
        <f>IF(V24&lt;0,"OUT","OK")</f>
        <v/>
      </c>
      <c r="W25" s="2">
        <f>IF(W24&lt;0,"OUT","OK")</f>
        <v/>
      </c>
      <c r="X25" s="2">
        <f>IF(X24&lt;0,"OUT","OK")</f>
        <v/>
      </c>
      <c r="Y25" s="2">
        <f>IF(Y24&lt;0,"OUT","OK")</f>
        <v/>
      </c>
      <c r="Z25" s="2">
        <f>IF(Z24&lt;0,"OUT","OK")</f>
        <v/>
      </c>
      <c r="AA25" s="2">
        <f>IF(AA24&lt;0,"OUT","OK")</f>
        <v/>
      </c>
      <c r="AB25" s="2">
        <f>IF(AB24&lt;0,"OUT","OK")</f>
        <v/>
      </c>
      <c r="AC25" s="2">
        <f>IF(AC24&lt;0,"OUT","OK")</f>
        <v/>
      </c>
      <c r="AD25" s="2">
        <f>IF(AD24&lt;0,"OUT","OK")</f>
        <v/>
      </c>
      <c r="AE25" s="2">
        <f>IF(AE24&lt;0,"OUT","OK")</f>
        <v/>
      </c>
      <c r="AF25" s="2">
        <f>IF(AF24&lt;0,"OUT","OK")</f>
        <v/>
      </c>
      <c r="AG25" s="2">
        <f>IF(AG24&lt;0,"OUT","OK")</f>
        <v/>
      </c>
      <c r="AH25" s="2">
        <f>IF(AH24&lt;0,"OUT","OK")</f>
        <v/>
      </c>
      <c r="AI25" s="2">
        <f>IF(AI24&lt;0,"OUT","OK")</f>
        <v/>
      </c>
      <c r="AJ25" s="2">
        <f>IF(AJ24&lt;0,"OUT","OK")</f>
        <v/>
      </c>
      <c r="AK25" s="2">
        <f>IF(AK24&lt;0,"OUT","OK")</f>
        <v/>
      </c>
      <c r="AL25" s="2">
        <f>IF(AL24&lt;0,"OUT","OK")</f>
        <v/>
      </c>
    </row>
    <row r="26">
      <c r="A26" s="2" t="n"/>
      <c r="B26" s="2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</row>
    <row r="27">
      <c r="A27" s="2" t="inlineStr">
        <is>
          <t>Base</t>
        </is>
      </c>
      <c r="B27" s="2" t="inlineStr">
        <is>
          <t>Active members</t>
        </is>
      </c>
      <c r="C27" s="7">
        <f>Inputs!$E$3*(1+Inputs!$E$4)^(1-1)</f>
        <v/>
      </c>
      <c r="D27" s="7">
        <f>Inputs!$E$3*(1+Inputs!$E$4)^(2-1)</f>
        <v/>
      </c>
      <c r="E27" s="7">
        <f>Inputs!$E$3*(1+Inputs!$E$4)^(3-1)</f>
        <v/>
      </c>
      <c r="F27" s="7">
        <f>Inputs!$E$3*(1+Inputs!$E$4)^(4-1)</f>
        <v/>
      </c>
      <c r="G27" s="7">
        <f>Inputs!$E$3*(1+Inputs!$E$4)^(5-1)</f>
        <v/>
      </c>
      <c r="H27" s="7">
        <f>Inputs!$E$3*(1+Inputs!$E$4)^(6-1)</f>
        <v/>
      </c>
      <c r="I27" s="7">
        <f>Inputs!$E$3*(1+Inputs!$E$4)^(7-1)</f>
        <v/>
      </c>
      <c r="J27" s="7">
        <f>Inputs!$E$3*(1+Inputs!$E$4)^(8-1)</f>
        <v/>
      </c>
      <c r="K27" s="7">
        <f>Inputs!$E$3*(1+Inputs!$E$4)^(9-1)</f>
        <v/>
      </c>
      <c r="L27" s="7">
        <f>Inputs!$E$3*(1+Inputs!$E$4)^(10-1)</f>
        <v/>
      </c>
      <c r="M27" s="7">
        <f>Inputs!$E$3*(1+Inputs!$E$4)^(11-1)</f>
        <v/>
      </c>
      <c r="N27" s="7">
        <f>Inputs!$E$3*(1+Inputs!$E$4)^(12-1)</f>
        <v/>
      </c>
      <c r="O27" s="7">
        <f>Inputs!$E$3*(1+Inputs!$E$4)^(13-1)</f>
        <v/>
      </c>
      <c r="P27" s="7">
        <f>Inputs!$E$3*(1+Inputs!$E$4)^(14-1)</f>
        <v/>
      </c>
      <c r="Q27" s="7">
        <f>Inputs!$E$3*(1+Inputs!$E$4)^(15-1)</f>
        <v/>
      </c>
      <c r="R27" s="7">
        <f>Inputs!$E$3*(1+Inputs!$E$4)^(16-1)</f>
        <v/>
      </c>
      <c r="S27" s="7">
        <f>Inputs!$E$3*(1+Inputs!$E$4)^(17-1)</f>
        <v/>
      </c>
      <c r="T27" s="7">
        <f>Inputs!$E$3*(1+Inputs!$E$4)^(18-1)</f>
        <v/>
      </c>
      <c r="U27" s="7">
        <f>Inputs!$E$3*(1+Inputs!$E$4)^(19-1)</f>
        <v/>
      </c>
      <c r="V27" s="7">
        <f>Inputs!$E$3*(1+Inputs!$E$4)^(20-1)</f>
        <v/>
      </c>
      <c r="W27" s="7">
        <f>Inputs!$E$3*(1+Inputs!$E$4)^(21-1)</f>
        <v/>
      </c>
      <c r="X27" s="7">
        <f>Inputs!$E$3*(1+Inputs!$E$4)^(22-1)</f>
        <v/>
      </c>
      <c r="Y27" s="7">
        <f>Inputs!$E$3*(1+Inputs!$E$4)^(23-1)</f>
        <v/>
      </c>
      <c r="Z27" s="7">
        <f>Inputs!$E$3*(1+Inputs!$E$4)^(24-1)</f>
        <v/>
      </c>
      <c r="AA27" s="7">
        <f>Inputs!$E$3*(1+Inputs!$E$4)^(25-1)</f>
        <v/>
      </c>
      <c r="AB27" s="7">
        <f>Inputs!$E$3*(1+Inputs!$E$4)^(26-1)</f>
        <v/>
      </c>
      <c r="AC27" s="7">
        <f>Inputs!$E$3*(1+Inputs!$E$4)^(27-1)</f>
        <v/>
      </c>
      <c r="AD27" s="7">
        <f>Inputs!$E$3*(1+Inputs!$E$4)^(28-1)</f>
        <v/>
      </c>
      <c r="AE27" s="7">
        <f>Inputs!$E$3*(1+Inputs!$E$4)^(29-1)</f>
        <v/>
      </c>
      <c r="AF27" s="7">
        <f>Inputs!$E$3*(1+Inputs!$E$4)^(30-1)</f>
        <v/>
      </c>
      <c r="AG27" s="7">
        <f>Inputs!$E$3*(1+Inputs!$E$4)^(31-1)</f>
        <v/>
      </c>
      <c r="AH27" s="7">
        <f>Inputs!$E$3*(1+Inputs!$E$4)^(32-1)</f>
        <v/>
      </c>
      <c r="AI27" s="7">
        <f>Inputs!$E$3*(1+Inputs!$E$4)^(33-1)</f>
        <v/>
      </c>
      <c r="AJ27" s="7">
        <f>Inputs!$E$3*(1+Inputs!$E$4)^(34-1)</f>
        <v/>
      </c>
      <c r="AK27" s="7">
        <f>Inputs!$E$3*(1+Inputs!$E$4)^(35-1)</f>
        <v/>
      </c>
      <c r="AL27" s="7">
        <f>Inputs!$E$3*(1+Inputs!$E$4)^(36-1)</f>
        <v/>
      </c>
    </row>
    <row r="28">
      <c r="A28" s="2" t="inlineStr">
        <is>
          <t>Base</t>
        </is>
      </c>
      <c r="B28" s="2" t="inlineStr">
        <is>
          <t>Paid members</t>
        </is>
      </c>
      <c r="C28" s="7">
        <f>C27*Inputs!$E$5</f>
        <v/>
      </c>
      <c r="D28" s="7">
        <f>D27*Inputs!$E$5</f>
        <v/>
      </c>
      <c r="E28" s="7">
        <f>E27*Inputs!$E$5</f>
        <v/>
      </c>
      <c r="F28" s="7">
        <f>F27*Inputs!$E$5</f>
        <v/>
      </c>
      <c r="G28" s="7">
        <f>G27*Inputs!$E$5</f>
        <v/>
      </c>
      <c r="H28" s="7">
        <f>H27*Inputs!$E$5</f>
        <v/>
      </c>
      <c r="I28" s="7">
        <f>I27*Inputs!$E$5</f>
        <v/>
      </c>
      <c r="J28" s="7">
        <f>J27*Inputs!$E$5</f>
        <v/>
      </c>
      <c r="K28" s="7">
        <f>K27*Inputs!$E$5</f>
        <v/>
      </c>
      <c r="L28" s="7">
        <f>L27*Inputs!$E$5</f>
        <v/>
      </c>
      <c r="M28" s="7">
        <f>M27*Inputs!$E$5</f>
        <v/>
      </c>
      <c r="N28" s="7">
        <f>N27*Inputs!$E$5</f>
        <v/>
      </c>
      <c r="O28" s="7">
        <f>O27*Inputs!$E$5</f>
        <v/>
      </c>
      <c r="P28" s="7">
        <f>P27*Inputs!$E$5</f>
        <v/>
      </c>
      <c r="Q28" s="7">
        <f>Q27*Inputs!$E$5</f>
        <v/>
      </c>
      <c r="R28" s="7">
        <f>R27*Inputs!$E$5</f>
        <v/>
      </c>
      <c r="S28" s="7">
        <f>S27*Inputs!$E$5</f>
        <v/>
      </c>
      <c r="T28" s="7">
        <f>T27*Inputs!$E$5</f>
        <v/>
      </c>
      <c r="U28" s="7">
        <f>U27*Inputs!$E$5</f>
        <v/>
      </c>
      <c r="V28" s="7">
        <f>V27*Inputs!$E$5</f>
        <v/>
      </c>
      <c r="W28" s="7">
        <f>W27*Inputs!$E$5</f>
        <v/>
      </c>
      <c r="X28" s="7">
        <f>X27*Inputs!$E$5</f>
        <v/>
      </c>
      <c r="Y28" s="7">
        <f>Y27*Inputs!$E$5</f>
        <v/>
      </c>
      <c r="Z28" s="7">
        <f>Z27*Inputs!$E$5</f>
        <v/>
      </c>
      <c r="AA28" s="7">
        <f>AA27*Inputs!$E$5</f>
        <v/>
      </c>
      <c r="AB28" s="7">
        <f>AB27*Inputs!$E$5</f>
        <v/>
      </c>
      <c r="AC28" s="7">
        <f>AC27*Inputs!$E$5</f>
        <v/>
      </c>
      <c r="AD28" s="7">
        <f>AD27*Inputs!$E$5</f>
        <v/>
      </c>
      <c r="AE28" s="7">
        <f>AE27*Inputs!$E$5</f>
        <v/>
      </c>
      <c r="AF28" s="7">
        <f>AF27*Inputs!$E$5</f>
        <v/>
      </c>
      <c r="AG28" s="7">
        <f>AG27*Inputs!$E$5</f>
        <v/>
      </c>
      <c r="AH28" s="7">
        <f>AH27*Inputs!$E$5</f>
        <v/>
      </c>
      <c r="AI28" s="7">
        <f>AI27*Inputs!$E$5</f>
        <v/>
      </c>
      <c r="AJ28" s="7">
        <f>AJ27*Inputs!$E$5</f>
        <v/>
      </c>
      <c r="AK28" s="7">
        <f>AK27*Inputs!$E$5</f>
        <v/>
      </c>
      <c r="AL28" s="7">
        <f>AL27*Inputs!$E$5</f>
        <v/>
      </c>
    </row>
    <row r="29">
      <c r="A29" s="2" t="inlineStr">
        <is>
          <t>Base</t>
        </is>
      </c>
      <c r="B29" s="2" t="inlineStr">
        <is>
          <t>Membership revenue</t>
        </is>
      </c>
      <c r="C29" s="8">
        <f>C28*Inputs!$E$6</f>
        <v/>
      </c>
      <c r="D29" s="8">
        <f>D28*Inputs!$E$6</f>
        <v/>
      </c>
      <c r="E29" s="8">
        <f>E28*Inputs!$E$6</f>
        <v/>
      </c>
      <c r="F29" s="8">
        <f>F28*Inputs!$E$6</f>
        <v/>
      </c>
      <c r="G29" s="8">
        <f>G28*Inputs!$E$6</f>
        <v/>
      </c>
      <c r="H29" s="8">
        <f>H28*Inputs!$E$6</f>
        <v/>
      </c>
      <c r="I29" s="8">
        <f>I28*Inputs!$E$6</f>
        <v/>
      </c>
      <c r="J29" s="8">
        <f>J28*Inputs!$E$6</f>
        <v/>
      </c>
      <c r="K29" s="8">
        <f>K28*Inputs!$E$6</f>
        <v/>
      </c>
      <c r="L29" s="8">
        <f>L28*Inputs!$E$6</f>
        <v/>
      </c>
      <c r="M29" s="8">
        <f>M28*Inputs!$E$6</f>
        <v/>
      </c>
      <c r="N29" s="8">
        <f>N28*Inputs!$E$6</f>
        <v/>
      </c>
      <c r="O29" s="8">
        <f>O28*Inputs!$E$6</f>
        <v/>
      </c>
      <c r="P29" s="8">
        <f>P28*Inputs!$E$6</f>
        <v/>
      </c>
      <c r="Q29" s="8">
        <f>Q28*Inputs!$E$6</f>
        <v/>
      </c>
      <c r="R29" s="8">
        <f>R28*Inputs!$E$6</f>
        <v/>
      </c>
      <c r="S29" s="8">
        <f>S28*Inputs!$E$6</f>
        <v/>
      </c>
      <c r="T29" s="8">
        <f>T28*Inputs!$E$6</f>
        <v/>
      </c>
      <c r="U29" s="8">
        <f>U28*Inputs!$E$6</f>
        <v/>
      </c>
      <c r="V29" s="8">
        <f>V28*Inputs!$E$6</f>
        <v/>
      </c>
      <c r="W29" s="8">
        <f>W28*Inputs!$E$6</f>
        <v/>
      </c>
      <c r="X29" s="8">
        <f>X28*Inputs!$E$6</f>
        <v/>
      </c>
      <c r="Y29" s="8">
        <f>Y28*Inputs!$E$6</f>
        <v/>
      </c>
      <c r="Z29" s="8">
        <f>Z28*Inputs!$E$6</f>
        <v/>
      </c>
      <c r="AA29" s="8">
        <f>AA28*Inputs!$E$6</f>
        <v/>
      </c>
      <c r="AB29" s="8">
        <f>AB28*Inputs!$E$6</f>
        <v/>
      </c>
      <c r="AC29" s="8">
        <f>AC28*Inputs!$E$6</f>
        <v/>
      </c>
      <c r="AD29" s="8">
        <f>AD28*Inputs!$E$6</f>
        <v/>
      </c>
      <c r="AE29" s="8">
        <f>AE28*Inputs!$E$6</f>
        <v/>
      </c>
      <c r="AF29" s="8">
        <f>AF28*Inputs!$E$6</f>
        <v/>
      </c>
      <c r="AG29" s="8">
        <f>AG28*Inputs!$E$6</f>
        <v/>
      </c>
      <c r="AH29" s="8">
        <f>AH28*Inputs!$E$6</f>
        <v/>
      </c>
      <c r="AI29" s="8">
        <f>AI28*Inputs!$E$6</f>
        <v/>
      </c>
      <c r="AJ29" s="8">
        <f>AJ28*Inputs!$E$6</f>
        <v/>
      </c>
      <c r="AK29" s="8">
        <f>AK28*Inputs!$E$6</f>
        <v/>
      </c>
      <c r="AL29" s="8">
        <f>AL28*Inputs!$E$6</f>
        <v/>
      </c>
    </row>
    <row r="30">
      <c r="A30" s="2" t="inlineStr">
        <is>
          <t>Base</t>
        </is>
      </c>
      <c r="B30" s="2" t="inlineStr">
        <is>
          <t>Collaborative events</t>
        </is>
      </c>
      <c r="C30" s="7">
        <f>Inputs!$E$7*(1+Inputs!$E$8)^(1-1)</f>
        <v/>
      </c>
      <c r="D30" s="7">
        <f>Inputs!$E$7*(1+Inputs!$E$8)^(2-1)</f>
        <v/>
      </c>
      <c r="E30" s="7">
        <f>Inputs!$E$7*(1+Inputs!$E$8)^(3-1)</f>
        <v/>
      </c>
      <c r="F30" s="7">
        <f>Inputs!$E$7*(1+Inputs!$E$8)^(4-1)</f>
        <v/>
      </c>
      <c r="G30" s="7">
        <f>Inputs!$E$7*(1+Inputs!$E$8)^(5-1)</f>
        <v/>
      </c>
      <c r="H30" s="7">
        <f>Inputs!$E$7*(1+Inputs!$E$8)^(6-1)</f>
        <v/>
      </c>
      <c r="I30" s="7">
        <f>Inputs!$E$7*(1+Inputs!$E$8)^(7-1)</f>
        <v/>
      </c>
      <c r="J30" s="7">
        <f>Inputs!$E$7*(1+Inputs!$E$8)^(8-1)</f>
        <v/>
      </c>
      <c r="K30" s="7">
        <f>Inputs!$E$7*(1+Inputs!$E$8)^(9-1)</f>
        <v/>
      </c>
      <c r="L30" s="7">
        <f>Inputs!$E$7*(1+Inputs!$E$8)^(10-1)</f>
        <v/>
      </c>
      <c r="M30" s="7">
        <f>Inputs!$E$7*(1+Inputs!$E$8)^(11-1)</f>
        <v/>
      </c>
      <c r="N30" s="7">
        <f>Inputs!$E$7*(1+Inputs!$E$8)^(12-1)</f>
        <v/>
      </c>
      <c r="O30" s="7">
        <f>Inputs!$E$7*(1+Inputs!$E$8)^(13-1)</f>
        <v/>
      </c>
      <c r="P30" s="7">
        <f>Inputs!$E$7*(1+Inputs!$E$8)^(14-1)</f>
        <v/>
      </c>
      <c r="Q30" s="7">
        <f>Inputs!$E$7*(1+Inputs!$E$8)^(15-1)</f>
        <v/>
      </c>
      <c r="R30" s="7">
        <f>Inputs!$E$7*(1+Inputs!$E$8)^(16-1)</f>
        <v/>
      </c>
      <c r="S30" s="7">
        <f>Inputs!$E$7*(1+Inputs!$E$8)^(17-1)</f>
        <v/>
      </c>
      <c r="T30" s="7">
        <f>Inputs!$E$7*(1+Inputs!$E$8)^(18-1)</f>
        <v/>
      </c>
      <c r="U30" s="7">
        <f>Inputs!$E$7*(1+Inputs!$E$8)^(19-1)</f>
        <v/>
      </c>
      <c r="V30" s="7">
        <f>Inputs!$E$7*(1+Inputs!$E$8)^(20-1)</f>
        <v/>
      </c>
      <c r="W30" s="7">
        <f>Inputs!$E$7*(1+Inputs!$E$8)^(21-1)</f>
        <v/>
      </c>
      <c r="X30" s="7">
        <f>Inputs!$E$7*(1+Inputs!$E$8)^(22-1)</f>
        <v/>
      </c>
      <c r="Y30" s="7">
        <f>Inputs!$E$7*(1+Inputs!$E$8)^(23-1)</f>
        <v/>
      </c>
      <c r="Z30" s="7">
        <f>Inputs!$E$7*(1+Inputs!$E$8)^(24-1)</f>
        <v/>
      </c>
      <c r="AA30" s="7">
        <f>Inputs!$E$7*(1+Inputs!$E$8)^(25-1)</f>
        <v/>
      </c>
      <c r="AB30" s="7">
        <f>Inputs!$E$7*(1+Inputs!$E$8)^(26-1)</f>
        <v/>
      </c>
      <c r="AC30" s="7">
        <f>Inputs!$E$7*(1+Inputs!$E$8)^(27-1)</f>
        <v/>
      </c>
      <c r="AD30" s="7">
        <f>Inputs!$E$7*(1+Inputs!$E$8)^(28-1)</f>
        <v/>
      </c>
      <c r="AE30" s="7">
        <f>Inputs!$E$7*(1+Inputs!$E$8)^(29-1)</f>
        <v/>
      </c>
      <c r="AF30" s="7">
        <f>Inputs!$E$7*(1+Inputs!$E$8)^(30-1)</f>
        <v/>
      </c>
      <c r="AG30" s="7">
        <f>Inputs!$E$7*(1+Inputs!$E$8)^(31-1)</f>
        <v/>
      </c>
      <c r="AH30" s="7">
        <f>Inputs!$E$7*(1+Inputs!$E$8)^(32-1)</f>
        <v/>
      </c>
      <c r="AI30" s="7">
        <f>Inputs!$E$7*(1+Inputs!$E$8)^(33-1)</f>
        <v/>
      </c>
      <c r="AJ30" s="7">
        <f>Inputs!$E$7*(1+Inputs!$E$8)^(34-1)</f>
        <v/>
      </c>
      <c r="AK30" s="7">
        <f>Inputs!$E$7*(1+Inputs!$E$8)^(35-1)</f>
        <v/>
      </c>
      <c r="AL30" s="7">
        <f>Inputs!$E$7*(1+Inputs!$E$8)^(36-1)</f>
        <v/>
      </c>
    </row>
    <row r="31">
      <c r="A31" s="2" t="inlineStr">
        <is>
          <t>Base</t>
        </is>
      </c>
      <c r="B31" s="2" t="inlineStr">
        <is>
          <t>Event revenue</t>
        </is>
      </c>
      <c r="C31" s="8">
        <f>C30*Inputs!$E$9</f>
        <v/>
      </c>
      <c r="D31" s="8">
        <f>D30*Inputs!$E$9</f>
        <v/>
      </c>
      <c r="E31" s="8">
        <f>E30*Inputs!$E$9</f>
        <v/>
      </c>
      <c r="F31" s="8">
        <f>F30*Inputs!$E$9</f>
        <v/>
      </c>
      <c r="G31" s="8">
        <f>G30*Inputs!$E$9</f>
        <v/>
      </c>
      <c r="H31" s="8">
        <f>H30*Inputs!$E$9</f>
        <v/>
      </c>
      <c r="I31" s="8">
        <f>I30*Inputs!$E$9</f>
        <v/>
      </c>
      <c r="J31" s="8">
        <f>J30*Inputs!$E$9</f>
        <v/>
      </c>
      <c r="K31" s="8">
        <f>K30*Inputs!$E$9</f>
        <v/>
      </c>
      <c r="L31" s="8">
        <f>L30*Inputs!$E$9</f>
        <v/>
      </c>
      <c r="M31" s="8">
        <f>M30*Inputs!$E$9</f>
        <v/>
      </c>
      <c r="N31" s="8">
        <f>N30*Inputs!$E$9</f>
        <v/>
      </c>
      <c r="O31" s="8">
        <f>O30*Inputs!$E$9</f>
        <v/>
      </c>
      <c r="P31" s="8">
        <f>P30*Inputs!$E$9</f>
        <v/>
      </c>
      <c r="Q31" s="8">
        <f>Q30*Inputs!$E$9</f>
        <v/>
      </c>
      <c r="R31" s="8">
        <f>R30*Inputs!$E$9</f>
        <v/>
      </c>
      <c r="S31" s="8">
        <f>S30*Inputs!$E$9</f>
        <v/>
      </c>
      <c r="T31" s="8">
        <f>T30*Inputs!$E$9</f>
        <v/>
      </c>
      <c r="U31" s="8">
        <f>U30*Inputs!$E$9</f>
        <v/>
      </c>
      <c r="V31" s="8">
        <f>V30*Inputs!$E$9</f>
        <v/>
      </c>
      <c r="W31" s="8">
        <f>W30*Inputs!$E$9</f>
        <v/>
      </c>
      <c r="X31" s="8">
        <f>X30*Inputs!$E$9</f>
        <v/>
      </c>
      <c r="Y31" s="8">
        <f>Y30*Inputs!$E$9</f>
        <v/>
      </c>
      <c r="Z31" s="8">
        <f>Z30*Inputs!$E$9</f>
        <v/>
      </c>
      <c r="AA31" s="8">
        <f>AA30*Inputs!$E$9</f>
        <v/>
      </c>
      <c r="AB31" s="8">
        <f>AB30*Inputs!$E$9</f>
        <v/>
      </c>
      <c r="AC31" s="8">
        <f>AC30*Inputs!$E$9</f>
        <v/>
      </c>
      <c r="AD31" s="8">
        <f>AD30*Inputs!$E$9</f>
        <v/>
      </c>
      <c r="AE31" s="8">
        <f>AE30*Inputs!$E$9</f>
        <v/>
      </c>
      <c r="AF31" s="8">
        <f>AF30*Inputs!$E$9</f>
        <v/>
      </c>
      <c r="AG31" s="8">
        <f>AG30*Inputs!$E$9</f>
        <v/>
      </c>
      <c r="AH31" s="8">
        <f>AH30*Inputs!$E$9</f>
        <v/>
      </c>
      <c r="AI31" s="8">
        <f>AI30*Inputs!$E$9</f>
        <v/>
      </c>
      <c r="AJ31" s="8">
        <f>AJ30*Inputs!$E$9</f>
        <v/>
      </c>
      <c r="AK31" s="8">
        <f>AK30*Inputs!$E$9</f>
        <v/>
      </c>
      <c r="AL31" s="8">
        <f>AL30*Inputs!$E$9</f>
        <v/>
      </c>
    </row>
    <row r="32">
      <c r="A32" s="2" t="inlineStr">
        <is>
          <t>Base</t>
        </is>
      </c>
      <c r="B32" s="2" t="inlineStr">
        <is>
          <t>Automation/services revenue</t>
        </is>
      </c>
      <c r="C32" s="8">
        <f>Inputs!$E$11*(1+Inputs!$E$12)^(1-1)</f>
        <v/>
      </c>
      <c r="D32" s="8">
        <f>Inputs!$E$11*(1+Inputs!$E$12)^(2-1)</f>
        <v/>
      </c>
      <c r="E32" s="8">
        <f>Inputs!$E$11*(1+Inputs!$E$12)^(3-1)</f>
        <v/>
      </c>
      <c r="F32" s="8">
        <f>Inputs!$E$11*(1+Inputs!$E$12)^(4-1)</f>
        <v/>
      </c>
      <c r="G32" s="8">
        <f>Inputs!$E$11*(1+Inputs!$E$12)^(5-1)</f>
        <v/>
      </c>
      <c r="H32" s="8">
        <f>Inputs!$E$11*(1+Inputs!$E$12)^(6-1)</f>
        <v/>
      </c>
      <c r="I32" s="8">
        <f>Inputs!$E$11*(1+Inputs!$E$12)^(7-1)</f>
        <v/>
      </c>
      <c r="J32" s="8">
        <f>Inputs!$E$11*(1+Inputs!$E$12)^(8-1)</f>
        <v/>
      </c>
      <c r="K32" s="8">
        <f>Inputs!$E$11*(1+Inputs!$E$12)^(9-1)</f>
        <v/>
      </c>
      <c r="L32" s="8">
        <f>Inputs!$E$11*(1+Inputs!$E$12)^(10-1)</f>
        <v/>
      </c>
      <c r="M32" s="8">
        <f>Inputs!$E$11*(1+Inputs!$E$12)^(11-1)</f>
        <v/>
      </c>
      <c r="N32" s="8">
        <f>Inputs!$E$11*(1+Inputs!$E$12)^(12-1)</f>
        <v/>
      </c>
      <c r="O32" s="8">
        <f>Inputs!$E$11*(1+Inputs!$E$12)^(13-1)</f>
        <v/>
      </c>
      <c r="P32" s="8">
        <f>Inputs!$E$11*(1+Inputs!$E$12)^(14-1)</f>
        <v/>
      </c>
      <c r="Q32" s="8">
        <f>Inputs!$E$11*(1+Inputs!$E$12)^(15-1)</f>
        <v/>
      </c>
      <c r="R32" s="8">
        <f>Inputs!$E$11*(1+Inputs!$E$12)^(16-1)</f>
        <v/>
      </c>
      <c r="S32" s="8">
        <f>Inputs!$E$11*(1+Inputs!$E$12)^(17-1)</f>
        <v/>
      </c>
      <c r="T32" s="8">
        <f>Inputs!$E$11*(1+Inputs!$E$12)^(18-1)</f>
        <v/>
      </c>
      <c r="U32" s="8">
        <f>Inputs!$E$11*(1+Inputs!$E$12)^(19-1)</f>
        <v/>
      </c>
      <c r="V32" s="8">
        <f>Inputs!$E$11*(1+Inputs!$E$12)^(20-1)</f>
        <v/>
      </c>
      <c r="W32" s="8">
        <f>Inputs!$E$11*(1+Inputs!$E$12)^(21-1)</f>
        <v/>
      </c>
      <c r="X32" s="8">
        <f>Inputs!$E$11*(1+Inputs!$E$12)^(22-1)</f>
        <v/>
      </c>
      <c r="Y32" s="8">
        <f>Inputs!$E$11*(1+Inputs!$E$12)^(23-1)</f>
        <v/>
      </c>
      <c r="Z32" s="8">
        <f>Inputs!$E$11*(1+Inputs!$E$12)^(24-1)</f>
        <v/>
      </c>
      <c r="AA32" s="8">
        <f>Inputs!$E$11*(1+Inputs!$E$12)^(25-1)</f>
        <v/>
      </c>
      <c r="AB32" s="8">
        <f>Inputs!$E$11*(1+Inputs!$E$12)^(26-1)</f>
        <v/>
      </c>
      <c r="AC32" s="8">
        <f>Inputs!$E$11*(1+Inputs!$E$12)^(27-1)</f>
        <v/>
      </c>
      <c r="AD32" s="8">
        <f>Inputs!$E$11*(1+Inputs!$E$12)^(28-1)</f>
        <v/>
      </c>
      <c r="AE32" s="8">
        <f>Inputs!$E$11*(1+Inputs!$E$12)^(29-1)</f>
        <v/>
      </c>
      <c r="AF32" s="8">
        <f>Inputs!$E$11*(1+Inputs!$E$12)^(30-1)</f>
        <v/>
      </c>
      <c r="AG32" s="8">
        <f>Inputs!$E$11*(1+Inputs!$E$12)^(31-1)</f>
        <v/>
      </c>
      <c r="AH32" s="8">
        <f>Inputs!$E$11*(1+Inputs!$E$12)^(32-1)</f>
        <v/>
      </c>
      <c r="AI32" s="8">
        <f>Inputs!$E$11*(1+Inputs!$E$12)^(33-1)</f>
        <v/>
      </c>
      <c r="AJ32" s="8">
        <f>Inputs!$E$11*(1+Inputs!$E$12)^(34-1)</f>
        <v/>
      </c>
      <c r="AK32" s="8">
        <f>Inputs!$E$11*(1+Inputs!$E$12)^(35-1)</f>
        <v/>
      </c>
      <c r="AL32" s="8">
        <f>Inputs!$E$11*(1+Inputs!$E$12)^(36-1)</f>
        <v/>
      </c>
    </row>
    <row r="33">
      <c r="A33" s="2" t="inlineStr">
        <is>
          <t>Base</t>
        </is>
      </c>
      <c r="B33" s="2" t="inlineStr">
        <is>
          <t>Merch net revenue</t>
        </is>
      </c>
      <c r="C33" s="8">
        <f>IF(1&lt;Inputs!$E$13,0,Inputs!$E$14*(1+Inputs!$E$15)^(1-Inputs!$E$13)*Inputs!$E$16)</f>
        <v/>
      </c>
      <c r="D33" s="8">
        <f>IF(2&lt;Inputs!$E$13,0,Inputs!$E$14*(1+Inputs!$E$15)^(2-Inputs!$E$13)*Inputs!$E$16)</f>
        <v/>
      </c>
      <c r="E33" s="8">
        <f>IF(3&lt;Inputs!$E$13,0,Inputs!$E$14*(1+Inputs!$E$15)^(3-Inputs!$E$13)*Inputs!$E$16)</f>
        <v/>
      </c>
      <c r="F33" s="8">
        <f>IF(4&lt;Inputs!$E$13,0,Inputs!$E$14*(1+Inputs!$E$15)^(4-Inputs!$E$13)*Inputs!$E$16)</f>
        <v/>
      </c>
      <c r="G33" s="8">
        <f>IF(5&lt;Inputs!$E$13,0,Inputs!$E$14*(1+Inputs!$E$15)^(5-Inputs!$E$13)*Inputs!$E$16)</f>
        <v/>
      </c>
      <c r="H33" s="8">
        <f>IF(6&lt;Inputs!$E$13,0,Inputs!$E$14*(1+Inputs!$E$15)^(6-Inputs!$E$13)*Inputs!$E$16)</f>
        <v/>
      </c>
      <c r="I33" s="8">
        <f>IF(7&lt;Inputs!$E$13,0,Inputs!$E$14*(1+Inputs!$E$15)^(7-Inputs!$E$13)*Inputs!$E$16)</f>
        <v/>
      </c>
      <c r="J33" s="8">
        <f>IF(8&lt;Inputs!$E$13,0,Inputs!$E$14*(1+Inputs!$E$15)^(8-Inputs!$E$13)*Inputs!$E$16)</f>
        <v/>
      </c>
      <c r="K33" s="8">
        <f>IF(9&lt;Inputs!$E$13,0,Inputs!$E$14*(1+Inputs!$E$15)^(9-Inputs!$E$13)*Inputs!$E$16)</f>
        <v/>
      </c>
      <c r="L33" s="8">
        <f>IF(10&lt;Inputs!$E$13,0,Inputs!$E$14*(1+Inputs!$E$15)^(10-Inputs!$E$13)*Inputs!$E$16)</f>
        <v/>
      </c>
      <c r="M33" s="8">
        <f>IF(11&lt;Inputs!$E$13,0,Inputs!$E$14*(1+Inputs!$E$15)^(11-Inputs!$E$13)*Inputs!$E$16)</f>
        <v/>
      </c>
      <c r="N33" s="8">
        <f>IF(12&lt;Inputs!$E$13,0,Inputs!$E$14*(1+Inputs!$E$15)^(12-Inputs!$E$13)*Inputs!$E$16)</f>
        <v/>
      </c>
      <c r="O33" s="8">
        <f>IF(13&lt;Inputs!$E$13,0,Inputs!$E$14*(1+Inputs!$E$15)^(13-Inputs!$E$13)*Inputs!$E$16)</f>
        <v/>
      </c>
      <c r="P33" s="8">
        <f>IF(14&lt;Inputs!$E$13,0,Inputs!$E$14*(1+Inputs!$E$15)^(14-Inputs!$E$13)*Inputs!$E$16)</f>
        <v/>
      </c>
      <c r="Q33" s="8">
        <f>IF(15&lt;Inputs!$E$13,0,Inputs!$E$14*(1+Inputs!$E$15)^(15-Inputs!$E$13)*Inputs!$E$16)</f>
        <v/>
      </c>
      <c r="R33" s="8">
        <f>IF(16&lt;Inputs!$E$13,0,Inputs!$E$14*(1+Inputs!$E$15)^(16-Inputs!$E$13)*Inputs!$E$16)</f>
        <v/>
      </c>
      <c r="S33" s="8">
        <f>IF(17&lt;Inputs!$E$13,0,Inputs!$E$14*(1+Inputs!$E$15)^(17-Inputs!$E$13)*Inputs!$E$16)</f>
        <v/>
      </c>
      <c r="T33" s="8">
        <f>IF(18&lt;Inputs!$E$13,0,Inputs!$E$14*(1+Inputs!$E$15)^(18-Inputs!$E$13)*Inputs!$E$16)</f>
        <v/>
      </c>
      <c r="U33" s="8">
        <f>IF(19&lt;Inputs!$E$13,0,Inputs!$E$14*(1+Inputs!$E$15)^(19-Inputs!$E$13)*Inputs!$E$16)</f>
        <v/>
      </c>
      <c r="V33" s="8">
        <f>IF(20&lt;Inputs!$E$13,0,Inputs!$E$14*(1+Inputs!$E$15)^(20-Inputs!$E$13)*Inputs!$E$16)</f>
        <v/>
      </c>
      <c r="W33" s="8">
        <f>IF(21&lt;Inputs!$E$13,0,Inputs!$E$14*(1+Inputs!$E$15)^(21-Inputs!$E$13)*Inputs!$E$16)</f>
        <v/>
      </c>
      <c r="X33" s="8">
        <f>IF(22&lt;Inputs!$E$13,0,Inputs!$E$14*(1+Inputs!$E$15)^(22-Inputs!$E$13)*Inputs!$E$16)</f>
        <v/>
      </c>
      <c r="Y33" s="8">
        <f>IF(23&lt;Inputs!$E$13,0,Inputs!$E$14*(1+Inputs!$E$15)^(23-Inputs!$E$13)*Inputs!$E$16)</f>
        <v/>
      </c>
      <c r="Z33" s="8">
        <f>IF(24&lt;Inputs!$E$13,0,Inputs!$E$14*(1+Inputs!$E$15)^(24-Inputs!$E$13)*Inputs!$E$16)</f>
        <v/>
      </c>
      <c r="AA33" s="8">
        <f>IF(25&lt;Inputs!$E$13,0,Inputs!$E$14*(1+Inputs!$E$15)^(25-Inputs!$E$13)*Inputs!$E$16)</f>
        <v/>
      </c>
      <c r="AB33" s="8">
        <f>IF(26&lt;Inputs!$E$13,0,Inputs!$E$14*(1+Inputs!$E$15)^(26-Inputs!$E$13)*Inputs!$E$16)</f>
        <v/>
      </c>
      <c r="AC33" s="8">
        <f>IF(27&lt;Inputs!$E$13,0,Inputs!$E$14*(1+Inputs!$E$15)^(27-Inputs!$E$13)*Inputs!$E$16)</f>
        <v/>
      </c>
      <c r="AD33" s="8">
        <f>IF(28&lt;Inputs!$E$13,0,Inputs!$E$14*(1+Inputs!$E$15)^(28-Inputs!$E$13)*Inputs!$E$16)</f>
        <v/>
      </c>
      <c r="AE33" s="8">
        <f>IF(29&lt;Inputs!$E$13,0,Inputs!$E$14*(1+Inputs!$E$15)^(29-Inputs!$E$13)*Inputs!$E$16)</f>
        <v/>
      </c>
      <c r="AF33" s="8">
        <f>IF(30&lt;Inputs!$E$13,0,Inputs!$E$14*(1+Inputs!$E$15)^(30-Inputs!$E$13)*Inputs!$E$16)</f>
        <v/>
      </c>
      <c r="AG33" s="8">
        <f>IF(31&lt;Inputs!$E$13,0,Inputs!$E$14*(1+Inputs!$E$15)^(31-Inputs!$E$13)*Inputs!$E$16)</f>
        <v/>
      </c>
      <c r="AH33" s="8">
        <f>IF(32&lt;Inputs!$E$13,0,Inputs!$E$14*(1+Inputs!$E$15)^(32-Inputs!$E$13)*Inputs!$E$16)</f>
        <v/>
      </c>
      <c r="AI33" s="8">
        <f>IF(33&lt;Inputs!$E$13,0,Inputs!$E$14*(1+Inputs!$E$15)^(33-Inputs!$E$13)*Inputs!$E$16)</f>
        <v/>
      </c>
      <c r="AJ33" s="8">
        <f>IF(34&lt;Inputs!$E$13,0,Inputs!$E$14*(1+Inputs!$E$15)^(34-Inputs!$E$13)*Inputs!$E$16)</f>
        <v/>
      </c>
      <c r="AK33" s="8">
        <f>IF(35&lt;Inputs!$E$13,0,Inputs!$E$14*(1+Inputs!$E$15)^(35-Inputs!$E$13)*Inputs!$E$16)</f>
        <v/>
      </c>
      <c r="AL33" s="8">
        <f>IF(36&lt;Inputs!$E$13,0,Inputs!$E$14*(1+Inputs!$E$15)^(36-Inputs!$E$13)*Inputs!$E$16)</f>
        <v/>
      </c>
    </row>
    <row r="34">
      <c r="A34" s="2" t="inlineStr">
        <is>
          <t>Base</t>
        </is>
      </c>
      <c r="B34" s="2" t="inlineStr">
        <is>
          <t>Operating revenue</t>
        </is>
      </c>
      <c r="C34" s="8">
        <f>SUM(C29,C31,C32,C33)</f>
        <v/>
      </c>
      <c r="D34" s="8">
        <f>SUM(D29,D31,D32,D33)</f>
        <v/>
      </c>
      <c r="E34" s="8">
        <f>SUM(E29,E31,E32,E33)</f>
        <v/>
      </c>
      <c r="F34" s="8">
        <f>SUM(F29,F31,F32,F33)</f>
        <v/>
      </c>
      <c r="G34" s="8">
        <f>SUM(G29,G31,G32,G33)</f>
        <v/>
      </c>
      <c r="H34" s="8">
        <f>SUM(H29,H31,H32,H33)</f>
        <v/>
      </c>
      <c r="I34" s="8">
        <f>SUM(I29,I31,I32,I33)</f>
        <v/>
      </c>
      <c r="J34" s="8">
        <f>SUM(J29,J31,J32,J33)</f>
        <v/>
      </c>
      <c r="K34" s="8">
        <f>SUM(K29,K31,K32,K33)</f>
        <v/>
      </c>
      <c r="L34" s="8">
        <f>SUM(L29,L31,L32,L33)</f>
        <v/>
      </c>
      <c r="M34" s="8">
        <f>SUM(M29,M31,M32,M33)</f>
        <v/>
      </c>
      <c r="N34" s="8">
        <f>SUM(N29,N31,N32,N33)</f>
        <v/>
      </c>
      <c r="O34" s="8">
        <f>SUM(O29,O31,O32,O33)</f>
        <v/>
      </c>
      <c r="P34" s="8">
        <f>SUM(P29,P31,P32,P33)</f>
        <v/>
      </c>
      <c r="Q34" s="8">
        <f>SUM(Q29,Q31,Q32,Q33)</f>
        <v/>
      </c>
      <c r="R34" s="8">
        <f>SUM(R29,R31,R32,R33)</f>
        <v/>
      </c>
      <c r="S34" s="8">
        <f>SUM(S29,S31,S32,S33)</f>
        <v/>
      </c>
      <c r="T34" s="8">
        <f>SUM(T29,T31,T32,T33)</f>
        <v/>
      </c>
      <c r="U34" s="8">
        <f>SUM(U29,U31,U32,U33)</f>
        <v/>
      </c>
      <c r="V34" s="8">
        <f>SUM(V29,V31,V32,V33)</f>
        <v/>
      </c>
      <c r="W34" s="8">
        <f>SUM(W29,W31,W32,W33)</f>
        <v/>
      </c>
      <c r="X34" s="8">
        <f>SUM(X29,X31,X32,X33)</f>
        <v/>
      </c>
      <c r="Y34" s="8">
        <f>SUM(Y29,Y31,Y32,Y33)</f>
        <v/>
      </c>
      <c r="Z34" s="8">
        <f>SUM(Z29,Z31,Z32,Z33)</f>
        <v/>
      </c>
      <c r="AA34" s="8">
        <f>SUM(AA29,AA31,AA32,AA33)</f>
        <v/>
      </c>
      <c r="AB34" s="8">
        <f>SUM(AB29,AB31,AB32,AB33)</f>
        <v/>
      </c>
      <c r="AC34" s="8">
        <f>SUM(AC29,AC31,AC32,AC33)</f>
        <v/>
      </c>
      <c r="AD34" s="8">
        <f>SUM(AD29,AD31,AD32,AD33)</f>
        <v/>
      </c>
      <c r="AE34" s="8">
        <f>SUM(AE29,AE31,AE32,AE33)</f>
        <v/>
      </c>
      <c r="AF34" s="8">
        <f>SUM(AF29,AF31,AF32,AF33)</f>
        <v/>
      </c>
      <c r="AG34" s="8">
        <f>SUM(AG29,AG31,AG32,AG33)</f>
        <v/>
      </c>
      <c r="AH34" s="8">
        <f>SUM(AH29,AH31,AH32,AH33)</f>
        <v/>
      </c>
      <c r="AI34" s="8">
        <f>SUM(AI29,AI31,AI32,AI33)</f>
        <v/>
      </c>
      <c r="AJ34" s="8">
        <f>SUM(AJ29,AJ31,AJ32,AJ33)</f>
        <v/>
      </c>
      <c r="AK34" s="8">
        <f>SUM(AK29,AK31,AK32,AK33)</f>
        <v/>
      </c>
      <c r="AL34" s="8">
        <f>SUM(AL29,AL31,AL32,AL33)</f>
        <v/>
      </c>
    </row>
    <row r="35">
      <c r="A35" s="2" t="inlineStr">
        <is>
          <t>Base</t>
        </is>
      </c>
      <c r="B35" s="2" t="inlineStr">
        <is>
          <t>Funding inflow</t>
        </is>
      </c>
      <c r="C35" s="8">
        <f>IF(AND(Inputs!$E$17&gt;0,1=Inputs!$E$17),Inputs!$E$18,0)</f>
        <v/>
      </c>
      <c r="D35" s="8">
        <f>IF(AND(Inputs!$E$17&gt;0,2=Inputs!$E$17),Inputs!$E$18,0)</f>
        <v/>
      </c>
      <c r="E35" s="8">
        <f>IF(AND(Inputs!$E$17&gt;0,3=Inputs!$E$17),Inputs!$E$18,0)</f>
        <v/>
      </c>
      <c r="F35" s="8">
        <f>IF(AND(Inputs!$E$17&gt;0,4=Inputs!$E$17),Inputs!$E$18,0)</f>
        <v/>
      </c>
      <c r="G35" s="8">
        <f>IF(AND(Inputs!$E$17&gt;0,5=Inputs!$E$17),Inputs!$E$18,0)</f>
        <v/>
      </c>
      <c r="H35" s="8">
        <f>IF(AND(Inputs!$E$17&gt;0,6=Inputs!$E$17),Inputs!$E$18,0)</f>
        <v/>
      </c>
      <c r="I35" s="8">
        <f>IF(AND(Inputs!$E$17&gt;0,7=Inputs!$E$17),Inputs!$E$18,0)</f>
        <v/>
      </c>
      <c r="J35" s="8">
        <f>IF(AND(Inputs!$E$17&gt;0,8=Inputs!$E$17),Inputs!$E$18,0)</f>
        <v/>
      </c>
      <c r="K35" s="8">
        <f>IF(AND(Inputs!$E$17&gt;0,9=Inputs!$E$17),Inputs!$E$18,0)</f>
        <v/>
      </c>
      <c r="L35" s="8">
        <f>IF(AND(Inputs!$E$17&gt;0,10=Inputs!$E$17),Inputs!$E$18,0)</f>
        <v/>
      </c>
      <c r="M35" s="8">
        <f>IF(AND(Inputs!$E$17&gt;0,11=Inputs!$E$17),Inputs!$E$18,0)</f>
        <v/>
      </c>
      <c r="N35" s="8">
        <f>IF(AND(Inputs!$E$17&gt;0,12=Inputs!$E$17),Inputs!$E$18,0)</f>
        <v/>
      </c>
      <c r="O35" s="8">
        <f>IF(AND(Inputs!$E$17&gt;0,13=Inputs!$E$17),Inputs!$E$18,0)</f>
        <v/>
      </c>
      <c r="P35" s="8">
        <f>IF(AND(Inputs!$E$17&gt;0,14=Inputs!$E$17),Inputs!$E$18,0)</f>
        <v/>
      </c>
      <c r="Q35" s="8">
        <f>IF(AND(Inputs!$E$17&gt;0,15=Inputs!$E$17),Inputs!$E$18,0)</f>
        <v/>
      </c>
      <c r="R35" s="8">
        <f>IF(AND(Inputs!$E$17&gt;0,16=Inputs!$E$17),Inputs!$E$18,0)</f>
        <v/>
      </c>
      <c r="S35" s="8">
        <f>IF(AND(Inputs!$E$17&gt;0,17=Inputs!$E$17),Inputs!$E$18,0)</f>
        <v/>
      </c>
      <c r="T35" s="8">
        <f>IF(AND(Inputs!$E$17&gt;0,18=Inputs!$E$17),Inputs!$E$18,0)</f>
        <v/>
      </c>
      <c r="U35" s="8">
        <f>IF(AND(Inputs!$E$17&gt;0,19=Inputs!$E$17),Inputs!$E$18,0)</f>
        <v/>
      </c>
      <c r="V35" s="8">
        <f>IF(AND(Inputs!$E$17&gt;0,20=Inputs!$E$17),Inputs!$E$18,0)</f>
        <v/>
      </c>
      <c r="W35" s="8">
        <f>IF(AND(Inputs!$E$17&gt;0,21=Inputs!$E$17),Inputs!$E$18,0)</f>
        <v/>
      </c>
      <c r="X35" s="8">
        <f>IF(AND(Inputs!$E$17&gt;0,22=Inputs!$E$17),Inputs!$E$18,0)</f>
        <v/>
      </c>
      <c r="Y35" s="8">
        <f>IF(AND(Inputs!$E$17&gt;0,23=Inputs!$E$17),Inputs!$E$18,0)</f>
        <v/>
      </c>
      <c r="Z35" s="8">
        <f>IF(AND(Inputs!$E$17&gt;0,24=Inputs!$E$17),Inputs!$E$18,0)</f>
        <v/>
      </c>
      <c r="AA35" s="8">
        <f>IF(AND(Inputs!$E$17&gt;0,25=Inputs!$E$17),Inputs!$E$18,0)</f>
        <v/>
      </c>
      <c r="AB35" s="8">
        <f>IF(AND(Inputs!$E$17&gt;0,26=Inputs!$E$17),Inputs!$E$18,0)</f>
        <v/>
      </c>
      <c r="AC35" s="8">
        <f>IF(AND(Inputs!$E$17&gt;0,27=Inputs!$E$17),Inputs!$E$18,0)</f>
        <v/>
      </c>
      <c r="AD35" s="8">
        <f>IF(AND(Inputs!$E$17&gt;0,28=Inputs!$E$17),Inputs!$E$18,0)</f>
        <v/>
      </c>
      <c r="AE35" s="8">
        <f>IF(AND(Inputs!$E$17&gt;0,29=Inputs!$E$17),Inputs!$E$18,0)</f>
        <v/>
      </c>
      <c r="AF35" s="8">
        <f>IF(AND(Inputs!$E$17&gt;0,30=Inputs!$E$17),Inputs!$E$18,0)</f>
        <v/>
      </c>
      <c r="AG35" s="8">
        <f>IF(AND(Inputs!$E$17&gt;0,31=Inputs!$E$17),Inputs!$E$18,0)</f>
        <v/>
      </c>
      <c r="AH35" s="8">
        <f>IF(AND(Inputs!$E$17&gt;0,32=Inputs!$E$17),Inputs!$E$18,0)</f>
        <v/>
      </c>
      <c r="AI35" s="8">
        <f>IF(AND(Inputs!$E$17&gt;0,33=Inputs!$E$17),Inputs!$E$18,0)</f>
        <v/>
      </c>
      <c r="AJ35" s="8">
        <f>IF(AND(Inputs!$E$17&gt;0,34=Inputs!$E$17),Inputs!$E$18,0)</f>
        <v/>
      </c>
      <c r="AK35" s="8">
        <f>IF(AND(Inputs!$E$17&gt;0,35=Inputs!$E$17),Inputs!$E$18,0)</f>
        <v/>
      </c>
      <c r="AL35" s="8">
        <f>IF(AND(Inputs!$E$17&gt;0,36=Inputs!$E$17),Inputs!$E$18,0)</f>
        <v/>
      </c>
    </row>
    <row r="36">
      <c r="A36" s="2" t="inlineStr">
        <is>
          <t>Base</t>
        </is>
      </c>
      <c r="B36" s="2" t="inlineStr">
        <is>
          <t>Payment + variable COGS</t>
        </is>
      </c>
      <c r="C36" s="8">
        <f>C34*Inputs!$E$26+(C29+C31+C33)*Inputs!$E$27+C27*Inputs!$E$30</f>
        <v/>
      </c>
      <c r="D36" s="8">
        <f>D34*Inputs!$E$26+(D29+D31+D33)*Inputs!$E$27+D27*Inputs!$E$30</f>
        <v/>
      </c>
      <c r="E36" s="8">
        <f>E34*Inputs!$E$26+(E29+E31+E33)*Inputs!$E$27+E27*Inputs!$E$30</f>
        <v/>
      </c>
      <c r="F36" s="8">
        <f>F34*Inputs!$E$26+(F29+F31+F33)*Inputs!$E$27+F27*Inputs!$E$30</f>
        <v/>
      </c>
      <c r="G36" s="8">
        <f>G34*Inputs!$E$26+(G29+G31+G33)*Inputs!$E$27+G27*Inputs!$E$30</f>
        <v/>
      </c>
      <c r="H36" s="8">
        <f>H34*Inputs!$E$26+(H29+H31+H33)*Inputs!$E$27+H27*Inputs!$E$30</f>
        <v/>
      </c>
      <c r="I36" s="8">
        <f>I34*Inputs!$E$26+(I29+I31+I33)*Inputs!$E$27+I27*Inputs!$E$30</f>
        <v/>
      </c>
      <c r="J36" s="8">
        <f>J34*Inputs!$E$26+(J29+J31+J33)*Inputs!$E$27+J27*Inputs!$E$30</f>
        <v/>
      </c>
      <c r="K36" s="8">
        <f>K34*Inputs!$E$26+(K29+K31+K33)*Inputs!$E$27+K27*Inputs!$E$30</f>
        <v/>
      </c>
      <c r="L36" s="8">
        <f>L34*Inputs!$E$26+(L29+L31+L33)*Inputs!$E$27+L27*Inputs!$E$30</f>
        <v/>
      </c>
      <c r="M36" s="8">
        <f>M34*Inputs!$E$26+(M29+M31+M33)*Inputs!$E$27+M27*Inputs!$E$30</f>
        <v/>
      </c>
      <c r="N36" s="8">
        <f>N34*Inputs!$E$26+(N29+N31+N33)*Inputs!$E$27+N27*Inputs!$E$30</f>
        <v/>
      </c>
      <c r="O36" s="8">
        <f>O34*Inputs!$E$26+(O29+O31+O33)*Inputs!$E$27+O27*Inputs!$E$30</f>
        <v/>
      </c>
      <c r="P36" s="8">
        <f>P34*Inputs!$E$26+(P29+P31+P33)*Inputs!$E$27+P27*Inputs!$E$30</f>
        <v/>
      </c>
      <c r="Q36" s="8">
        <f>Q34*Inputs!$E$26+(Q29+Q31+Q33)*Inputs!$E$27+Q27*Inputs!$E$30</f>
        <v/>
      </c>
      <c r="R36" s="8">
        <f>R34*Inputs!$E$26+(R29+R31+R33)*Inputs!$E$27+R27*Inputs!$E$30</f>
        <v/>
      </c>
      <c r="S36" s="8">
        <f>S34*Inputs!$E$26+(S29+S31+S33)*Inputs!$E$27+S27*Inputs!$E$30</f>
        <v/>
      </c>
      <c r="T36" s="8">
        <f>T34*Inputs!$E$26+(T29+T31+T33)*Inputs!$E$27+T27*Inputs!$E$30</f>
        <v/>
      </c>
      <c r="U36" s="8">
        <f>U34*Inputs!$E$26+(U29+U31+U33)*Inputs!$E$27+U27*Inputs!$E$30</f>
        <v/>
      </c>
      <c r="V36" s="8">
        <f>V34*Inputs!$E$26+(V29+V31+V33)*Inputs!$E$27+V27*Inputs!$E$30</f>
        <v/>
      </c>
      <c r="W36" s="8">
        <f>W34*Inputs!$E$26+(W29+W31+W33)*Inputs!$E$27+W27*Inputs!$E$30</f>
        <v/>
      </c>
      <c r="X36" s="8">
        <f>X34*Inputs!$E$26+(X29+X31+X33)*Inputs!$E$27+X27*Inputs!$E$30</f>
        <v/>
      </c>
      <c r="Y36" s="8">
        <f>Y34*Inputs!$E$26+(Y29+Y31+Y33)*Inputs!$E$27+Y27*Inputs!$E$30</f>
        <v/>
      </c>
      <c r="Z36" s="8">
        <f>Z34*Inputs!$E$26+(Z29+Z31+Z33)*Inputs!$E$27+Z27*Inputs!$E$30</f>
        <v/>
      </c>
      <c r="AA36" s="8">
        <f>AA34*Inputs!$E$26+(AA29+AA31+AA33)*Inputs!$E$27+AA27*Inputs!$E$30</f>
        <v/>
      </c>
      <c r="AB36" s="8">
        <f>AB34*Inputs!$E$26+(AB29+AB31+AB33)*Inputs!$E$27+AB27*Inputs!$E$30</f>
        <v/>
      </c>
      <c r="AC36" s="8">
        <f>AC34*Inputs!$E$26+(AC29+AC31+AC33)*Inputs!$E$27+AC27*Inputs!$E$30</f>
        <v/>
      </c>
      <c r="AD36" s="8">
        <f>AD34*Inputs!$E$26+(AD29+AD31+AD33)*Inputs!$E$27+AD27*Inputs!$E$30</f>
        <v/>
      </c>
      <c r="AE36" s="8">
        <f>AE34*Inputs!$E$26+(AE29+AE31+AE33)*Inputs!$E$27+AE27*Inputs!$E$30</f>
        <v/>
      </c>
      <c r="AF36" s="8">
        <f>AF34*Inputs!$E$26+(AF29+AF31+AF33)*Inputs!$E$27+AF27*Inputs!$E$30</f>
        <v/>
      </c>
      <c r="AG36" s="8">
        <f>AG34*Inputs!$E$26+(AG29+AG31+AG33)*Inputs!$E$27+AG27*Inputs!$E$30</f>
        <v/>
      </c>
      <c r="AH36" s="8">
        <f>AH34*Inputs!$E$26+(AH29+AH31+AH33)*Inputs!$E$27+AH27*Inputs!$E$30</f>
        <v/>
      </c>
      <c r="AI36" s="8">
        <f>AI34*Inputs!$E$26+(AI29+AI31+AI33)*Inputs!$E$27+AI27*Inputs!$E$30</f>
        <v/>
      </c>
      <c r="AJ36" s="8">
        <f>AJ34*Inputs!$E$26+(AJ29+AJ31+AJ33)*Inputs!$E$27+AJ27*Inputs!$E$30</f>
        <v/>
      </c>
      <c r="AK36" s="8">
        <f>AK34*Inputs!$E$26+(AK29+AK31+AK33)*Inputs!$E$27+AK27*Inputs!$E$30</f>
        <v/>
      </c>
      <c r="AL36" s="8">
        <f>AL34*Inputs!$E$26+(AL29+AL31+AL33)*Inputs!$E$27+AL27*Inputs!$E$30</f>
        <v/>
      </c>
    </row>
    <row r="37">
      <c r="A37" s="2" t="inlineStr">
        <is>
          <t>Base</t>
        </is>
      </c>
      <c r="B37" s="2" t="inlineStr">
        <is>
          <t>Partner event fees</t>
        </is>
      </c>
      <c r="C37" s="8">
        <f>C30*Inputs!$E$10</f>
        <v/>
      </c>
      <c r="D37" s="8">
        <f>D30*Inputs!$E$10</f>
        <v/>
      </c>
      <c r="E37" s="8">
        <f>E30*Inputs!$E$10</f>
        <v/>
      </c>
      <c r="F37" s="8">
        <f>F30*Inputs!$E$10</f>
        <v/>
      </c>
      <c r="G37" s="8">
        <f>G30*Inputs!$E$10</f>
        <v/>
      </c>
      <c r="H37" s="8">
        <f>H30*Inputs!$E$10</f>
        <v/>
      </c>
      <c r="I37" s="8">
        <f>I30*Inputs!$E$10</f>
        <v/>
      </c>
      <c r="J37" s="8">
        <f>J30*Inputs!$E$10</f>
        <v/>
      </c>
      <c r="K37" s="8">
        <f>K30*Inputs!$E$10</f>
        <v/>
      </c>
      <c r="L37" s="8">
        <f>L30*Inputs!$E$10</f>
        <v/>
      </c>
      <c r="M37" s="8">
        <f>M30*Inputs!$E$10</f>
        <v/>
      </c>
      <c r="N37" s="8">
        <f>N30*Inputs!$E$10</f>
        <v/>
      </c>
      <c r="O37" s="8">
        <f>O30*Inputs!$E$10</f>
        <v/>
      </c>
      <c r="P37" s="8">
        <f>P30*Inputs!$E$10</f>
        <v/>
      </c>
      <c r="Q37" s="8">
        <f>Q30*Inputs!$E$10</f>
        <v/>
      </c>
      <c r="R37" s="8">
        <f>R30*Inputs!$E$10</f>
        <v/>
      </c>
      <c r="S37" s="8">
        <f>S30*Inputs!$E$10</f>
        <v/>
      </c>
      <c r="T37" s="8">
        <f>T30*Inputs!$E$10</f>
        <v/>
      </c>
      <c r="U37" s="8">
        <f>U30*Inputs!$E$10</f>
        <v/>
      </c>
      <c r="V37" s="8">
        <f>V30*Inputs!$E$10</f>
        <v/>
      </c>
      <c r="W37" s="8">
        <f>W30*Inputs!$E$10</f>
        <v/>
      </c>
      <c r="X37" s="8">
        <f>X30*Inputs!$E$10</f>
        <v/>
      </c>
      <c r="Y37" s="8">
        <f>Y30*Inputs!$E$10</f>
        <v/>
      </c>
      <c r="Z37" s="8">
        <f>Z30*Inputs!$E$10</f>
        <v/>
      </c>
      <c r="AA37" s="8">
        <f>AA30*Inputs!$E$10</f>
        <v/>
      </c>
      <c r="AB37" s="8">
        <f>AB30*Inputs!$E$10</f>
        <v/>
      </c>
      <c r="AC37" s="8">
        <f>AC30*Inputs!$E$10</f>
        <v/>
      </c>
      <c r="AD37" s="8">
        <f>AD30*Inputs!$E$10</f>
        <v/>
      </c>
      <c r="AE37" s="8">
        <f>AE30*Inputs!$E$10</f>
        <v/>
      </c>
      <c r="AF37" s="8">
        <f>AF30*Inputs!$E$10</f>
        <v/>
      </c>
      <c r="AG37" s="8">
        <f>AG30*Inputs!$E$10</f>
        <v/>
      </c>
      <c r="AH37" s="8">
        <f>AH30*Inputs!$E$10</f>
        <v/>
      </c>
      <c r="AI37" s="8">
        <f>AI30*Inputs!$E$10</f>
        <v/>
      </c>
      <c r="AJ37" s="8">
        <f>AJ30*Inputs!$E$10</f>
        <v/>
      </c>
      <c r="AK37" s="8">
        <f>AK30*Inputs!$E$10</f>
        <v/>
      </c>
      <c r="AL37" s="8">
        <f>AL30*Inputs!$E$10</f>
        <v/>
      </c>
    </row>
    <row r="38">
      <c r="A38" s="2" t="inlineStr">
        <is>
          <t>Base</t>
        </is>
      </c>
      <c r="B38" s="2" t="inlineStr">
        <is>
          <t>Mission reserve (10%)</t>
        </is>
      </c>
      <c r="C38" s="8">
        <f>C34*Inputs!$E$29</f>
        <v/>
      </c>
      <c r="D38" s="8">
        <f>D34*Inputs!$E$29</f>
        <v/>
      </c>
      <c r="E38" s="8">
        <f>E34*Inputs!$E$29</f>
        <v/>
      </c>
      <c r="F38" s="8">
        <f>F34*Inputs!$E$29</f>
        <v/>
      </c>
      <c r="G38" s="8">
        <f>G34*Inputs!$E$29</f>
        <v/>
      </c>
      <c r="H38" s="8">
        <f>H34*Inputs!$E$29</f>
        <v/>
      </c>
      <c r="I38" s="8">
        <f>I34*Inputs!$E$29</f>
        <v/>
      </c>
      <c r="J38" s="8">
        <f>J34*Inputs!$E$29</f>
        <v/>
      </c>
      <c r="K38" s="8">
        <f>K34*Inputs!$E$29</f>
        <v/>
      </c>
      <c r="L38" s="8">
        <f>L34*Inputs!$E$29</f>
        <v/>
      </c>
      <c r="M38" s="8">
        <f>M34*Inputs!$E$29</f>
        <v/>
      </c>
      <c r="N38" s="8">
        <f>N34*Inputs!$E$29</f>
        <v/>
      </c>
      <c r="O38" s="8">
        <f>O34*Inputs!$E$29</f>
        <v/>
      </c>
      <c r="P38" s="8">
        <f>P34*Inputs!$E$29</f>
        <v/>
      </c>
      <c r="Q38" s="8">
        <f>Q34*Inputs!$E$29</f>
        <v/>
      </c>
      <c r="R38" s="8">
        <f>R34*Inputs!$E$29</f>
        <v/>
      </c>
      <c r="S38" s="8">
        <f>S34*Inputs!$E$29</f>
        <v/>
      </c>
      <c r="T38" s="8">
        <f>T34*Inputs!$E$29</f>
        <v/>
      </c>
      <c r="U38" s="8">
        <f>U34*Inputs!$E$29</f>
        <v/>
      </c>
      <c r="V38" s="8">
        <f>V34*Inputs!$E$29</f>
        <v/>
      </c>
      <c r="W38" s="8">
        <f>W34*Inputs!$E$29</f>
        <v/>
      </c>
      <c r="X38" s="8">
        <f>X34*Inputs!$E$29</f>
        <v/>
      </c>
      <c r="Y38" s="8">
        <f>Y34*Inputs!$E$29</f>
        <v/>
      </c>
      <c r="Z38" s="8">
        <f>Z34*Inputs!$E$29</f>
        <v/>
      </c>
      <c r="AA38" s="8">
        <f>AA34*Inputs!$E$29</f>
        <v/>
      </c>
      <c r="AB38" s="8">
        <f>AB34*Inputs!$E$29</f>
        <v/>
      </c>
      <c r="AC38" s="8">
        <f>AC34*Inputs!$E$29</f>
        <v/>
      </c>
      <c r="AD38" s="8">
        <f>AD34*Inputs!$E$29</f>
        <v/>
      </c>
      <c r="AE38" s="8">
        <f>AE34*Inputs!$E$29</f>
        <v/>
      </c>
      <c r="AF38" s="8">
        <f>AF34*Inputs!$E$29</f>
        <v/>
      </c>
      <c r="AG38" s="8">
        <f>AG34*Inputs!$E$29</f>
        <v/>
      </c>
      <c r="AH38" s="8">
        <f>AH34*Inputs!$E$29</f>
        <v/>
      </c>
      <c r="AI38" s="8">
        <f>AI34*Inputs!$E$29</f>
        <v/>
      </c>
      <c r="AJ38" s="8">
        <f>AJ34*Inputs!$E$29</f>
        <v/>
      </c>
      <c r="AK38" s="8">
        <f>AK34*Inputs!$E$29</f>
        <v/>
      </c>
      <c r="AL38" s="8">
        <f>AL34*Inputs!$E$29</f>
        <v/>
      </c>
    </row>
    <row r="39">
      <c r="A39" s="2" t="inlineStr">
        <is>
          <t>Base</t>
        </is>
      </c>
      <c r="B39" s="2" t="inlineStr">
        <is>
          <t>Fixed infra</t>
        </is>
      </c>
      <c r="C39" s="8">
        <f>Inputs!$E$19</f>
        <v/>
      </c>
      <c r="D39" s="8">
        <f>Inputs!$E$19</f>
        <v/>
      </c>
      <c r="E39" s="8">
        <f>Inputs!$E$19</f>
        <v/>
      </c>
      <c r="F39" s="8">
        <f>Inputs!$E$19</f>
        <v/>
      </c>
      <c r="G39" s="8">
        <f>Inputs!$E$19</f>
        <v/>
      </c>
      <c r="H39" s="8">
        <f>Inputs!$E$19</f>
        <v/>
      </c>
      <c r="I39" s="8">
        <f>Inputs!$E$19</f>
        <v/>
      </c>
      <c r="J39" s="8">
        <f>Inputs!$E$19</f>
        <v/>
      </c>
      <c r="K39" s="8">
        <f>Inputs!$E$19</f>
        <v/>
      </c>
      <c r="L39" s="8">
        <f>Inputs!$E$19</f>
        <v/>
      </c>
      <c r="M39" s="8">
        <f>Inputs!$E$19</f>
        <v/>
      </c>
      <c r="N39" s="8">
        <f>Inputs!$E$19</f>
        <v/>
      </c>
      <c r="O39" s="8">
        <f>Inputs!$E$19</f>
        <v/>
      </c>
      <c r="P39" s="8">
        <f>Inputs!$E$19</f>
        <v/>
      </c>
      <c r="Q39" s="8">
        <f>Inputs!$E$19</f>
        <v/>
      </c>
      <c r="R39" s="8">
        <f>Inputs!$E$19</f>
        <v/>
      </c>
      <c r="S39" s="8">
        <f>Inputs!$E$19</f>
        <v/>
      </c>
      <c r="T39" s="8">
        <f>Inputs!$E$19</f>
        <v/>
      </c>
      <c r="U39" s="8">
        <f>Inputs!$E$19</f>
        <v/>
      </c>
      <c r="V39" s="8">
        <f>Inputs!$E$19</f>
        <v/>
      </c>
      <c r="W39" s="8">
        <f>Inputs!$E$19</f>
        <v/>
      </c>
      <c r="X39" s="8">
        <f>Inputs!$E$19</f>
        <v/>
      </c>
      <c r="Y39" s="8">
        <f>Inputs!$E$19</f>
        <v/>
      </c>
      <c r="Z39" s="8">
        <f>Inputs!$E$19</f>
        <v/>
      </c>
      <c r="AA39" s="8">
        <f>Inputs!$E$19</f>
        <v/>
      </c>
      <c r="AB39" s="8">
        <f>Inputs!$E$19</f>
        <v/>
      </c>
      <c r="AC39" s="8">
        <f>Inputs!$E$19</f>
        <v/>
      </c>
      <c r="AD39" s="8">
        <f>Inputs!$E$19</f>
        <v/>
      </c>
      <c r="AE39" s="8">
        <f>Inputs!$E$19</f>
        <v/>
      </c>
      <c r="AF39" s="8">
        <f>Inputs!$E$19</f>
        <v/>
      </c>
      <c r="AG39" s="8">
        <f>Inputs!$E$19</f>
        <v/>
      </c>
      <c r="AH39" s="8">
        <f>Inputs!$E$19</f>
        <v/>
      </c>
      <c r="AI39" s="8">
        <f>Inputs!$E$19</f>
        <v/>
      </c>
      <c r="AJ39" s="8">
        <f>Inputs!$E$19</f>
        <v/>
      </c>
      <c r="AK39" s="8">
        <f>Inputs!$E$19</f>
        <v/>
      </c>
      <c r="AL39" s="8">
        <f>Inputs!$E$19</f>
        <v/>
      </c>
    </row>
    <row r="40">
      <c r="A40" s="2" t="inlineStr">
        <is>
          <t>Base</t>
        </is>
      </c>
      <c r="B40" s="2" t="inlineStr">
        <is>
          <t>AI/model/tooling</t>
        </is>
      </c>
      <c r="C40" s="8">
        <f>Inputs!$E$20</f>
        <v/>
      </c>
      <c r="D40" s="8">
        <f>Inputs!$E$20</f>
        <v/>
      </c>
      <c r="E40" s="8">
        <f>Inputs!$E$20</f>
        <v/>
      </c>
      <c r="F40" s="8">
        <f>Inputs!$E$20</f>
        <v/>
      </c>
      <c r="G40" s="8">
        <f>Inputs!$E$20</f>
        <v/>
      </c>
      <c r="H40" s="8">
        <f>Inputs!$E$20</f>
        <v/>
      </c>
      <c r="I40" s="8">
        <f>Inputs!$E$20</f>
        <v/>
      </c>
      <c r="J40" s="8">
        <f>Inputs!$E$20</f>
        <v/>
      </c>
      <c r="K40" s="8">
        <f>Inputs!$E$20</f>
        <v/>
      </c>
      <c r="L40" s="8">
        <f>Inputs!$E$20</f>
        <v/>
      </c>
      <c r="M40" s="8">
        <f>Inputs!$E$20</f>
        <v/>
      </c>
      <c r="N40" s="8">
        <f>Inputs!$E$20</f>
        <v/>
      </c>
      <c r="O40" s="8">
        <f>Inputs!$E$20</f>
        <v/>
      </c>
      <c r="P40" s="8">
        <f>Inputs!$E$20</f>
        <v/>
      </c>
      <c r="Q40" s="8">
        <f>Inputs!$E$20</f>
        <v/>
      </c>
      <c r="R40" s="8">
        <f>Inputs!$E$20</f>
        <v/>
      </c>
      <c r="S40" s="8">
        <f>Inputs!$E$20</f>
        <v/>
      </c>
      <c r="T40" s="8">
        <f>Inputs!$E$20</f>
        <v/>
      </c>
      <c r="U40" s="8">
        <f>Inputs!$E$20</f>
        <v/>
      </c>
      <c r="V40" s="8">
        <f>Inputs!$E$20</f>
        <v/>
      </c>
      <c r="W40" s="8">
        <f>Inputs!$E$20</f>
        <v/>
      </c>
      <c r="X40" s="8">
        <f>Inputs!$E$20</f>
        <v/>
      </c>
      <c r="Y40" s="8">
        <f>Inputs!$E$20</f>
        <v/>
      </c>
      <c r="Z40" s="8">
        <f>Inputs!$E$20</f>
        <v/>
      </c>
      <c r="AA40" s="8">
        <f>Inputs!$E$20</f>
        <v/>
      </c>
      <c r="AB40" s="8">
        <f>Inputs!$E$20</f>
        <v/>
      </c>
      <c r="AC40" s="8">
        <f>Inputs!$E$20</f>
        <v/>
      </c>
      <c r="AD40" s="8">
        <f>Inputs!$E$20</f>
        <v/>
      </c>
      <c r="AE40" s="8">
        <f>Inputs!$E$20</f>
        <v/>
      </c>
      <c r="AF40" s="8">
        <f>Inputs!$E$20</f>
        <v/>
      </c>
      <c r="AG40" s="8">
        <f>Inputs!$E$20</f>
        <v/>
      </c>
      <c r="AH40" s="8">
        <f>Inputs!$E$20</f>
        <v/>
      </c>
      <c r="AI40" s="8">
        <f>Inputs!$E$20</f>
        <v/>
      </c>
      <c r="AJ40" s="8">
        <f>Inputs!$E$20</f>
        <v/>
      </c>
      <c r="AK40" s="8">
        <f>Inputs!$E$20</f>
        <v/>
      </c>
      <c r="AL40" s="8">
        <f>Inputs!$E$20</f>
        <v/>
      </c>
    </row>
    <row r="41">
      <c r="A41" s="2" t="inlineStr">
        <is>
          <t>Base</t>
        </is>
      </c>
      <c r="B41" s="2" t="inlineStr">
        <is>
          <t>Marketing/community spend</t>
        </is>
      </c>
      <c r="C41" s="8">
        <f>Inputs!$E$21</f>
        <v/>
      </c>
      <c r="D41" s="8">
        <f>Inputs!$E$21</f>
        <v/>
      </c>
      <c r="E41" s="8">
        <f>Inputs!$E$21</f>
        <v/>
      </c>
      <c r="F41" s="8">
        <f>Inputs!$E$21</f>
        <v/>
      </c>
      <c r="G41" s="8">
        <f>Inputs!$E$21</f>
        <v/>
      </c>
      <c r="H41" s="8">
        <f>Inputs!$E$21</f>
        <v/>
      </c>
      <c r="I41" s="8">
        <f>Inputs!$E$21</f>
        <v/>
      </c>
      <c r="J41" s="8">
        <f>Inputs!$E$21</f>
        <v/>
      </c>
      <c r="K41" s="8">
        <f>Inputs!$E$21</f>
        <v/>
      </c>
      <c r="L41" s="8">
        <f>Inputs!$E$21</f>
        <v/>
      </c>
      <c r="M41" s="8">
        <f>Inputs!$E$21</f>
        <v/>
      </c>
      <c r="N41" s="8">
        <f>Inputs!$E$21</f>
        <v/>
      </c>
      <c r="O41" s="8">
        <f>Inputs!$E$21</f>
        <v/>
      </c>
      <c r="P41" s="8">
        <f>Inputs!$E$21</f>
        <v/>
      </c>
      <c r="Q41" s="8">
        <f>Inputs!$E$21</f>
        <v/>
      </c>
      <c r="R41" s="8">
        <f>Inputs!$E$21</f>
        <v/>
      </c>
      <c r="S41" s="8">
        <f>Inputs!$E$21</f>
        <v/>
      </c>
      <c r="T41" s="8">
        <f>Inputs!$E$21</f>
        <v/>
      </c>
      <c r="U41" s="8">
        <f>Inputs!$E$21</f>
        <v/>
      </c>
      <c r="V41" s="8">
        <f>Inputs!$E$21</f>
        <v/>
      </c>
      <c r="W41" s="8">
        <f>Inputs!$E$21</f>
        <v/>
      </c>
      <c r="X41" s="8">
        <f>Inputs!$E$21</f>
        <v/>
      </c>
      <c r="Y41" s="8">
        <f>Inputs!$E$21</f>
        <v/>
      </c>
      <c r="Z41" s="8">
        <f>Inputs!$E$21</f>
        <v/>
      </c>
      <c r="AA41" s="8">
        <f>Inputs!$E$21</f>
        <v/>
      </c>
      <c r="AB41" s="8">
        <f>Inputs!$E$21</f>
        <v/>
      </c>
      <c r="AC41" s="8">
        <f>Inputs!$E$21</f>
        <v/>
      </c>
      <c r="AD41" s="8">
        <f>Inputs!$E$21</f>
        <v/>
      </c>
      <c r="AE41" s="8">
        <f>Inputs!$E$21</f>
        <v/>
      </c>
      <c r="AF41" s="8">
        <f>Inputs!$E$21</f>
        <v/>
      </c>
      <c r="AG41" s="8">
        <f>Inputs!$E$21</f>
        <v/>
      </c>
      <c r="AH41" s="8">
        <f>Inputs!$E$21</f>
        <v/>
      </c>
      <c r="AI41" s="8">
        <f>Inputs!$E$21</f>
        <v/>
      </c>
      <c r="AJ41" s="8">
        <f>Inputs!$E$21</f>
        <v/>
      </c>
      <c r="AK41" s="8">
        <f>Inputs!$E$21</f>
        <v/>
      </c>
      <c r="AL41" s="8">
        <f>Inputs!$E$21</f>
        <v/>
      </c>
    </row>
    <row r="42">
      <c r="A42" s="2" t="inlineStr">
        <is>
          <t>Base</t>
        </is>
      </c>
      <c r="B42" s="2" t="inlineStr">
        <is>
          <t>Contractor/dev support</t>
        </is>
      </c>
      <c r="C42" s="8">
        <f>Inputs!$E$22</f>
        <v/>
      </c>
      <c r="D42" s="8">
        <f>Inputs!$E$22</f>
        <v/>
      </c>
      <c r="E42" s="8">
        <f>Inputs!$E$22</f>
        <v/>
      </c>
      <c r="F42" s="8">
        <f>Inputs!$E$22</f>
        <v/>
      </c>
      <c r="G42" s="8">
        <f>Inputs!$E$22</f>
        <v/>
      </c>
      <c r="H42" s="8">
        <f>Inputs!$E$22</f>
        <v/>
      </c>
      <c r="I42" s="8">
        <f>Inputs!$E$22</f>
        <v/>
      </c>
      <c r="J42" s="8">
        <f>Inputs!$E$22</f>
        <v/>
      </c>
      <c r="K42" s="8">
        <f>Inputs!$E$22</f>
        <v/>
      </c>
      <c r="L42" s="8">
        <f>Inputs!$E$22</f>
        <v/>
      </c>
      <c r="M42" s="8">
        <f>Inputs!$E$22</f>
        <v/>
      </c>
      <c r="N42" s="8">
        <f>Inputs!$E$22</f>
        <v/>
      </c>
      <c r="O42" s="8">
        <f>Inputs!$E$22</f>
        <v/>
      </c>
      <c r="P42" s="8">
        <f>Inputs!$E$22</f>
        <v/>
      </c>
      <c r="Q42" s="8">
        <f>Inputs!$E$22</f>
        <v/>
      </c>
      <c r="R42" s="8">
        <f>Inputs!$E$22</f>
        <v/>
      </c>
      <c r="S42" s="8">
        <f>Inputs!$E$22</f>
        <v/>
      </c>
      <c r="T42" s="8">
        <f>Inputs!$E$22</f>
        <v/>
      </c>
      <c r="U42" s="8">
        <f>Inputs!$E$22</f>
        <v/>
      </c>
      <c r="V42" s="8">
        <f>Inputs!$E$22</f>
        <v/>
      </c>
      <c r="W42" s="8">
        <f>Inputs!$E$22</f>
        <v/>
      </c>
      <c r="X42" s="8">
        <f>Inputs!$E$22</f>
        <v/>
      </c>
      <c r="Y42" s="8">
        <f>Inputs!$E$22</f>
        <v/>
      </c>
      <c r="Z42" s="8">
        <f>Inputs!$E$22</f>
        <v/>
      </c>
      <c r="AA42" s="8">
        <f>Inputs!$E$22</f>
        <v/>
      </c>
      <c r="AB42" s="8">
        <f>Inputs!$E$22</f>
        <v/>
      </c>
      <c r="AC42" s="8">
        <f>Inputs!$E$22</f>
        <v/>
      </c>
      <c r="AD42" s="8">
        <f>Inputs!$E$22</f>
        <v/>
      </c>
      <c r="AE42" s="8">
        <f>Inputs!$E$22</f>
        <v/>
      </c>
      <c r="AF42" s="8">
        <f>Inputs!$E$22</f>
        <v/>
      </c>
      <c r="AG42" s="8">
        <f>Inputs!$E$22</f>
        <v/>
      </c>
      <c r="AH42" s="8">
        <f>Inputs!$E$22</f>
        <v/>
      </c>
      <c r="AI42" s="8">
        <f>Inputs!$E$22</f>
        <v/>
      </c>
      <c r="AJ42" s="8">
        <f>Inputs!$E$22</f>
        <v/>
      </c>
      <c r="AK42" s="8">
        <f>Inputs!$E$22</f>
        <v/>
      </c>
      <c r="AL42" s="8">
        <f>Inputs!$E$22</f>
        <v/>
      </c>
    </row>
    <row r="43">
      <c r="A43" s="2" t="inlineStr">
        <is>
          <t>Base</t>
        </is>
      </c>
      <c r="B43" s="2" t="inlineStr">
        <is>
          <t>Compliance/legal reserve</t>
        </is>
      </c>
      <c r="C43" s="8">
        <f>Inputs!$E$23</f>
        <v/>
      </c>
      <c r="D43" s="8">
        <f>Inputs!$E$23</f>
        <v/>
      </c>
      <c r="E43" s="8">
        <f>Inputs!$E$23</f>
        <v/>
      </c>
      <c r="F43" s="8">
        <f>Inputs!$E$23</f>
        <v/>
      </c>
      <c r="G43" s="8">
        <f>Inputs!$E$23</f>
        <v/>
      </c>
      <c r="H43" s="8">
        <f>Inputs!$E$23</f>
        <v/>
      </c>
      <c r="I43" s="8">
        <f>Inputs!$E$23</f>
        <v/>
      </c>
      <c r="J43" s="8">
        <f>Inputs!$E$23</f>
        <v/>
      </c>
      <c r="K43" s="8">
        <f>Inputs!$E$23</f>
        <v/>
      </c>
      <c r="L43" s="8">
        <f>Inputs!$E$23</f>
        <v/>
      </c>
      <c r="M43" s="8">
        <f>Inputs!$E$23</f>
        <v/>
      </c>
      <c r="N43" s="8">
        <f>Inputs!$E$23</f>
        <v/>
      </c>
      <c r="O43" s="8">
        <f>Inputs!$E$23</f>
        <v/>
      </c>
      <c r="P43" s="8">
        <f>Inputs!$E$23</f>
        <v/>
      </c>
      <c r="Q43" s="8">
        <f>Inputs!$E$23</f>
        <v/>
      </c>
      <c r="R43" s="8">
        <f>Inputs!$E$23</f>
        <v/>
      </c>
      <c r="S43" s="8">
        <f>Inputs!$E$23</f>
        <v/>
      </c>
      <c r="T43" s="8">
        <f>Inputs!$E$23</f>
        <v/>
      </c>
      <c r="U43" s="8">
        <f>Inputs!$E$23</f>
        <v/>
      </c>
      <c r="V43" s="8">
        <f>Inputs!$E$23</f>
        <v/>
      </c>
      <c r="W43" s="8">
        <f>Inputs!$E$23</f>
        <v/>
      </c>
      <c r="X43" s="8">
        <f>Inputs!$E$23</f>
        <v/>
      </c>
      <c r="Y43" s="8">
        <f>Inputs!$E$23</f>
        <v/>
      </c>
      <c r="Z43" s="8">
        <f>Inputs!$E$23</f>
        <v/>
      </c>
      <c r="AA43" s="8">
        <f>Inputs!$E$23</f>
        <v/>
      </c>
      <c r="AB43" s="8">
        <f>Inputs!$E$23</f>
        <v/>
      </c>
      <c r="AC43" s="8">
        <f>Inputs!$E$23</f>
        <v/>
      </c>
      <c r="AD43" s="8">
        <f>Inputs!$E$23</f>
        <v/>
      </c>
      <c r="AE43" s="8">
        <f>Inputs!$E$23</f>
        <v/>
      </c>
      <c r="AF43" s="8">
        <f>Inputs!$E$23</f>
        <v/>
      </c>
      <c r="AG43" s="8">
        <f>Inputs!$E$23</f>
        <v/>
      </c>
      <c r="AH43" s="8">
        <f>Inputs!$E$23</f>
        <v/>
      </c>
      <c r="AI43" s="8">
        <f>Inputs!$E$23</f>
        <v/>
      </c>
      <c r="AJ43" s="8">
        <f>Inputs!$E$23</f>
        <v/>
      </c>
      <c r="AK43" s="8">
        <f>Inputs!$E$23</f>
        <v/>
      </c>
      <c r="AL43" s="8">
        <f>Inputs!$E$23</f>
        <v/>
      </c>
    </row>
    <row r="44">
      <c r="A44" s="2" t="inlineStr">
        <is>
          <t>Base</t>
        </is>
      </c>
      <c r="B44" s="2" t="inlineStr">
        <is>
          <t>DAO/security/legal milestone</t>
        </is>
      </c>
      <c r="C44" s="8">
        <f>IF(AND(Inputs!$E$24&gt;0,1=Inputs!$E$24),Inputs!$E$25,0)</f>
        <v/>
      </c>
      <c r="D44" s="8">
        <f>IF(AND(Inputs!$E$24&gt;0,2=Inputs!$E$24),Inputs!$E$25,0)</f>
        <v/>
      </c>
      <c r="E44" s="8">
        <f>IF(AND(Inputs!$E$24&gt;0,3=Inputs!$E$24),Inputs!$E$25,0)</f>
        <v/>
      </c>
      <c r="F44" s="8">
        <f>IF(AND(Inputs!$E$24&gt;0,4=Inputs!$E$24),Inputs!$E$25,0)</f>
        <v/>
      </c>
      <c r="G44" s="8">
        <f>IF(AND(Inputs!$E$24&gt;0,5=Inputs!$E$24),Inputs!$E$25,0)</f>
        <v/>
      </c>
      <c r="H44" s="8">
        <f>IF(AND(Inputs!$E$24&gt;0,6=Inputs!$E$24),Inputs!$E$25,0)</f>
        <v/>
      </c>
      <c r="I44" s="8">
        <f>IF(AND(Inputs!$E$24&gt;0,7=Inputs!$E$24),Inputs!$E$25,0)</f>
        <v/>
      </c>
      <c r="J44" s="8">
        <f>IF(AND(Inputs!$E$24&gt;0,8=Inputs!$E$24),Inputs!$E$25,0)</f>
        <v/>
      </c>
      <c r="K44" s="8">
        <f>IF(AND(Inputs!$E$24&gt;0,9=Inputs!$E$24),Inputs!$E$25,0)</f>
        <v/>
      </c>
      <c r="L44" s="8">
        <f>IF(AND(Inputs!$E$24&gt;0,10=Inputs!$E$24),Inputs!$E$25,0)</f>
        <v/>
      </c>
      <c r="M44" s="8">
        <f>IF(AND(Inputs!$E$24&gt;0,11=Inputs!$E$24),Inputs!$E$25,0)</f>
        <v/>
      </c>
      <c r="N44" s="8">
        <f>IF(AND(Inputs!$E$24&gt;0,12=Inputs!$E$24),Inputs!$E$25,0)</f>
        <v/>
      </c>
      <c r="O44" s="8">
        <f>IF(AND(Inputs!$E$24&gt;0,13=Inputs!$E$24),Inputs!$E$25,0)</f>
        <v/>
      </c>
      <c r="P44" s="8">
        <f>IF(AND(Inputs!$E$24&gt;0,14=Inputs!$E$24),Inputs!$E$25,0)</f>
        <v/>
      </c>
      <c r="Q44" s="8">
        <f>IF(AND(Inputs!$E$24&gt;0,15=Inputs!$E$24),Inputs!$E$25,0)</f>
        <v/>
      </c>
      <c r="R44" s="8">
        <f>IF(AND(Inputs!$E$24&gt;0,16=Inputs!$E$24),Inputs!$E$25,0)</f>
        <v/>
      </c>
      <c r="S44" s="8">
        <f>IF(AND(Inputs!$E$24&gt;0,17=Inputs!$E$24),Inputs!$E$25,0)</f>
        <v/>
      </c>
      <c r="T44" s="8">
        <f>IF(AND(Inputs!$E$24&gt;0,18=Inputs!$E$24),Inputs!$E$25,0)</f>
        <v/>
      </c>
      <c r="U44" s="8">
        <f>IF(AND(Inputs!$E$24&gt;0,19=Inputs!$E$24),Inputs!$E$25,0)</f>
        <v/>
      </c>
      <c r="V44" s="8">
        <f>IF(AND(Inputs!$E$24&gt;0,20=Inputs!$E$24),Inputs!$E$25,0)</f>
        <v/>
      </c>
      <c r="W44" s="8">
        <f>IF(AND(Inputs!$E$24&gt;0,21=Inputs!$E$24),Inputs!$E$25,0)</f>
        <v/>
      </c>
      <c r="X44" s="8">
        <f>IF(AND(Inputs!$E$24&gt;0,22=Inputs!$E$24),Inputs!$E$25,0)</f>
        <v/>
      </c>
      <c r="Y44" s="8">
        <f>IF(AND(Inputs!$E$24&gt;0,23=Inputs!$E$24),Inputs!$E$25,0)</f>
        <v/>
      </c>
      <c r="Z44" s="8">
        <f>IF(AND(Inputs!$E$24&gt;0,24=Inputs!$E$24),Inputs!$E$25,0)</f>
        <v/>
      </c>
      <c r="AA44" s="8">
        <f>IF(AND(Inputs!$E$24&gt;0,25=Inputs!$E$24),Inputs!$E$25,0)</f>
        <v/>
      </c>
      <c r="AB44" s="8">
        <f>IF(AND(Inputs!$E$24&gt;0,26=Inputs!$E$24),Inputs!$E$25,0)</f>
        <v/>
      </c>
      <c r="AC44" s="8">
        <f>IF(AND(Inputs!$E$24&gt;0,27=Inputs!$E$24),Inputs!$E$25,0)</f>
        <v/>
      </c>
      <c r="AD44" s="8">
        <f>IF(AND(Inputs!$E$24&gt;0,28=Inputs!$E$24),Inputs!$E$25,0)</f>
        <v/>
      </c>
      <c r="AE44" s="8">
        <f>IF(AND(Inputs!$E$24&gt;0,29=Inputs!$E$24),Inputs!$E$25,0)</f>
        <v/>
      </c>
      <c r="AF44" s="8">
        <f>IF(AND(Inputs!$E$24&gt;0,30=Inputs!$E$24),Inputs!$E$25,0)</f>
        <v/>
      </c>
      <c r="AG44" s="8">
        <f>IF(AND(Inputs!$E$24&gt;0,31=Inputs!$E$24),Inputs!$E$25,0)</f>
        <v/>
      </c>
      <c r="AH44" s="8">
        <f>IF(AND(Inputs!$E$24&gt;0,32=Inputs!$E$24),Inputs!$E$25,0)</f>
        <v/>
      </c>
      <c r="AI44" s="8">
        <f>IF(AND(Inputs!$E$24&gt;0,33=Inputs!$E$24),Inputs!$E$25,0)</f>
        <v/>
      </c>
      <c r="AJ44" s="8">
        <f>IF(AND(Inputs!$E$24&gt;0,34=Inputs!$E$24),Inputs!$E$25,0)</f>
        <v/>
      </c>
      <c r="AK44" s="8">
        <f>IF(AND(Inputs!$E$24&gt;0,35=Inputs!$E$24),Inputs!$E$25,0)</f>
        <v/>
      </c>
      <c r="AL44" s="8">
        <f>IF(AND(Inputs!$E$24&gt;0,36=Inputs!$E$24),Inputs!$E$25,0)</f>
        <v/>
      </c>
    </row>
    <row r="45">
      <c r="A45" s="2" t="inlineStr">
        <is>
          <t>Base</t>
        </is>
      </c>
      <c r="B45" s="2" t="inlineStr">
        <is>
          <t>Tax planning reserve</t>
        </is>
      </c>
      <c r="C45" s="8">
        <f>MAX((C34-C36-C37-C38-C39-C40-C41-C42-C43-C44),0)*Inputs!$E$28</f>
        <v/>
      </c>
      <c r="D45" s="8">
        <f>MAX((D34-D36-D37-D38-D39-D40-D41-D42-D43-D44),0)*Inputs!$E$28</f>
        <v/>
      </c>
      <c r="E45" s="8">
        <f>MAX((E34-E36-E37-E38-E39-E40-E41-E42-E43-E44),0)*Inputs!$E$28</f>
        <v/>
      </c>
      <c r="F45" s="8">
        <f>MAX((F34-F36-F37-F38-F39-F40-F41-F42-F43-F44),0)*Inputs!$E$28</f>
        <v/>
      </c>
      <c r="G45" s="8">
        <f>MAX((G34-G36-G37-G38-G39-G40-G41-G42-G43-G44),0)*Inputs!$E$28</f>
        <v/>
      </c>
      <c r="H45" s="8">
        <f>MAX((H34-H36-H37-H38-H39-H40-H41-H42-H43-H44),0)*Inputs!$E$28</f>
        <v/>
      </c>
      <c r="I45" s="8">
        <f>MAX((I34-I36-I37-I38-I39-I40-I41-I42-I43-I44),0)*Inputs!$E$28</f>
        <v/>
      </c>
      <c r="J45" s="8">
        <f>MAX((J34-J36-J37-J38-J39-J40-J41-J42-J43-J44),0)*Inputs!$E$28</f>
        <v/>
      </c>
      <c r="K45" s="8">
        <f>MAX((K34-K36-K37-K38-K39-K40-K41-K42-K43-K44),0)*Inputs!$E$28</f>
        <v/>
      </c>
      <c r="L45" s="8">
        <f>MAX((L34-L36-L37-L38-L39-L40-L41-L42-L43-L44),0)*Inputs!$E$28</f>
        <v/>
      </c>
      <c r="M45" s="8">
        <f>MAX((M34-M36-M37-M38-M39-M40-M41-M42-M43-M44),0)*Inputs!$E$28</f>
        <v/>
      </c>
      <c r="N45" s="8">
        <f>MAX((N34-N36-N37-N38-N39-N40-N41-N42-N43-N44),0)*Inputs!$E$28</f>
        <v/>
      </c>
      <c r="O45" s="8">
        <f>MAX((O34-O36-O37-O38-O39-O40-O41-O42-O43-O44),0)*Inputs!$E$28</f>
        <v/>
      </c>
      <c r="P45" s="8">
        <f>MAX((P34-P36-P37-P38-P39-P40-P41-P42-P43-P44),0)*Inputs!$E$28</f>
        <v/>
      </c>
      <c r="Q45" s="8">
        <f>MAX((Q34-Q36-Q37-Q38-Q39-Q40-Q41-Q42-Q43-Q44),0)*Inputs!$E$28</f>
        <v/>
      </c>
      <c r="R45" s="8">
        <f>MAX((R34-R36-R37-R38-R39-R40-R41-R42-R43-R44),0)*Inputs!$E$28</f>
        <v/>
      </c>
      <c r="S45" s="8">
        <f>MAX((S34-S36-S37-S38-S39-S40-S41-S42-S43-S44),0)*Inputs!$E$28</f>
        <v/>
      </c>
      <c r="T45" s="8">
        <f>MAX((T34-T36-T37-T38-T39-T40-T41-T42-T43-T44),0)*Inputs!$E$28</f>
        <v/>
      </c>
      <c r="U45" s="8">
        <f>MAX((U34-U36-U37-U38-U39-U40-U41-U42-U43-U44),0)*Inputs!$E$28</f>
        <v/>
      </c>
      <c r="V45" s="8">
        <f>MAX((V34-V36-V37-V38-V39-V40-V41-V42-V43-V44),0)*Inputs!$E$28</f>
        <v/>
      </c>
      <c r="W45" s="8">
        <f>MAX((W34-W36-W37-W38-W39-W40-W41-W42-W43-W44),0)*Inputs!$E$28</f>
        <v/>
      </c>
      <c r="X45" s="8">
        <f>MAX((X34-X36-X37-X38-X39-X40-X41-X42-X43-X44),0)*Inputs!$E$28</f>
        <v/>
      </c>
      <c r="Y45" s="8">
        <f>MAX((Y34-Y36-Y37-Y38-Y39-Y40-Y41-Y42-Y43-Y44),0)*Inputs!$E$28</f>
        <v/>
      </c>
      <c r="Z45" s="8">
        <f>MAX((Z34-Z36-Z37-Z38-Z39-Z40-Z41-Z42-Z43-Z44),0)*Inputs!$E$28</f>
        <v/>
      </c>
      <c r="AA45" s="8">
        <f>MAX((AA34-AA36-AA37-AA38-AA39-AA40-AA41-AA42-AA43-AA44),0)*Inputs!$E$28</f>
        <v/>
      </c>
      <c r="AB45" s="8">
        <f>MAX((AB34-AB36-AB37-AB38-AB39-AB40-AB41-AB42-AB43-AB44),0)*Inputs!$E$28</f>
        <v/>
      </c>
      <c r="AC45" s="8">
        <f>MAX((AC34-AC36-AC37-AC38-AC39-AC40-AC41-AC42-AC43-AC44),0)*Inputs!$E$28</f>
        <v/>
      </c>
      <c r="AD45" s="8">
        <f>MAX((AD34-AD36-AD37-AD38-AD39-AD40-AD41-AD42-AD43-AD44),0)*Inputs!$E$28</f>
        <v/>
      </c>
      <c r="AE45" s="8">
        <f>MAX((AE34-AE36-AE37-AE38-AE39-AE40-AE41-AE42-AE43-AE44),0)*Inputs!$E$28</f>
        <v/>
      </c>
      <c r="AF45" s="8">
        <f>MAX((AF34-AF36-AF37-AF38-AF39-AF40-AF41-AF42-AF43-AF44),0)*Inputs!$E$28</f>
        <v/>
      </c>
      <c r="AG45" s="8">
        <f>MAX((AG34-AG36-AG37-AG38-AG39-AG40-AG41-AG42-AG43-AG44),0)*Inputs!$E$28</f>
        <v/>
      </c>
      <c r="AH45" s="8">
        <f>MAX((AH34-AH36-AH37-AH38-AH39-AH40-AH41-AH42-AH43-AH44),0)*Inputs!$E$28</f>
        <v/>
      </c>
      <c r="AI45" s="8">
        <f>MAX((AI34-AI36-AI37-AI38-AI39-AI40-AI41-AI42-AI43-AI44),0)*Inputs!$E$28</f>
        <v/>
      </c>
      <c r="AJ45" s="8">
        <f>MAX((AJ34-AJ36-AJ37-AJ38-AJ39-AJ40-AJ41-AJ42-AJ43-AJ44),0)*Inputs!$E$28</f>
        <v/>
      </c>
      <c r="AK45" s="8">
        <f>MAX((AK34-AK36-AK37-AK38-AK39-AK40-AK41-AK42-AK43-AK44),0)*Inputs!$E$28</f>
        <v/>
      </c>
      <c r="AL45" s="8">
        <f>MAX((AL34-AL36-AL37-AL38-AL39-AL40-AL41-AL42-AL43-AL44),0)*Inputs!$E$28</f>
        <v/>
      </c>
    </row>
    <row r="46">
      <c r="A46" s="2" t="inlineStr">
        <is>
          <t>Base</t>
        </is>
      </c>
      <c r="B46" s="2" t="inlineStr">
        <is>
          <t>Total cash out/reserves</t>
        </is>
      </c>
      <c r="C46" s="8">
        <f>SUM(C36:C45)</f>
        <v/>
      </c>
      <c r="D46" s="8">
        <f>SUM(D36:D45)</f>
        <v/>
      </c>
      <c r="E46" s="8">
        <f>SUM(E36:E45)</f>
        <v/>
      </c>
      <c r="F46" s="8">
        <f>SUM(F36:F45)</f>
        <v/>
      </c>
      <c r="G46" s="8">
        <f>SUM(G36:G45)</f>
        <v/>
      </c>
      <c r="H46" s="8">
        <f>SUM(H36:H45)</f>
        <v/>
      </c>
      <c r="I46" s="8">
        <f>SUM(I36:I45)</f>
        <v/>
      </c>
      <c r="J46" s="8">
        <f>SUM(J36:J45)</f>
        <v/>
      </c>
      <c r="K46" s="8">
        <f>SUM(K36:K45)</f>
        <v/>
      </c>
      <c r="L46" s="8">
        <f>SUM(L36:L45)</f>
        <v/>
      </c>
      <c r="M46" s="8">
        <f>SUM(M36:M45)</f>
        <v/>
      </c>
      <c r="N46" s="8">
        <f>SUM(N36:N45)</f>
        <v/>
      </c>
      <c r="O46" s="8">
        <f>SUM(O36:O45)</f>
        <v/>
      </c>
      <c r="P46" s="8">
        <f>SUM(P36:P45)</f>
        <v/>
      </c>
      <c r="Q46" s="8">
        <f>SUM(Q36:Q45)</f>
        <v/>
      </c>
      <c r="R46" s="8">
        <f>SUM(R36:R45)</f>
        <v/>
      </c>
      <c r="S46" s="8">
        <f>SUM(S36:S45)</f>
        <v/>
      </c>
      <c r="T46" s="8">
        <f>SUM(T36:T45)</f>
        <v/>
      </c>
      <c r="U46" s="8">
        <f>SUM(U36:U45)</f>
        <v/>
      </c>
      <c r="V46" s="8">
        <f>SUM(V36:V45)</f>
        <v/>
      </c>
      <c r="W46" s="8">
        <f>SUM(W36:W45)</f>
        <v/>
      </c>
      <c r="X46" s="8">
        <f>SUM(X36:X45)</f>
        <v/>
      </c>
      <c r="Y46" s="8">
        <f>SUM(Y36:Y45)</f>
        <v/>
      </c>
      <c r="Z46" s="8">
        <f>SUM(Z36:Z45)</f>
        <v/>
      </c>
      <c r="AA46" s="8">
        <f>SUM(AA36:AA45)</f>
        <v/>
      </c>
      <c r="AB46" s="8">
        <f>SUM(AB36:AB45)</f>
        <v/>
      </c>
      <c r="AC46" s="8">
        <f>SUM(AC36:AC45)</f>
        <v/>
      </c>
      <c r="AD46" s="8">
        <f>SUM(AD36:AD45)</f>
        <v/>
      </c>
      <c r="AE46" s="8">
        <f>SUM(AE36:AE45)</f>
        <v/>
      </c>
      <c r="AF46" s="8">
        <f>SUM(AF36:AF45)</f>
        <v/>
      </c>
      <c r="AG46" s="8">
        <f>SUM(AG36:AG45)</f>
        <v/>
      </c>
      <c r="AH46" s="8">
        <f>SUM(AH36:AH45)</f>
        <v/>
      </c>
      <c r="AI46" s="8">
        <f>SUM(AI36:AI45)</f>
        <v/>
      </c>
      <c r="AJ46" s="8">
        <f>SUM(AJ36:AJ45)</f>
        <v/>
      </c>
      <c r="AK46" s="8">
        <f>SUM(AK36:AK45)</f>
        <v/>
      </c>
      <c r="AL46" s="8">
        <f>SUM(AL36:AL45)</f>
        <v/>
      </c>
    </row>
    <row r="47">
      <c r="A47" s="2" t="inlineStr">
        <is>
          <t>Base</t>
        </is>
      </c>
      <c r="B47" s="2" t="inlineStr">
        <is>
          <t>Operating net cash flow</t>
        </is>
      </c>
      <c r="C47" s="8">
        <f>C34-C46</f>
        <v/>
      </c>
      <c r="D47" s="8">
        <f>D34-D46</f>
        <v/>
      </c>
      <c r="E47" s="8">
        <f>E34-E46</f>
        <v/>
      </c>
      <c r="F47" s="8">
        <f>F34-F46</f>
        <v/>
      </c>
      <c r="G47" s="8">
        <f>G34-G46</f>
        <v/>
      </c>
      <c r="H47" s="8">
        <f>H34-H46</f>
        <v/>
      </c>
      <c r="I47" s="8">
        <f>I34-I46</f>
        <v/>
      </c>
      <c r="J47" s="8">
        <f>J34-J46</f>
        <v/>
      </c>
      <c r="K47" s="8">
        <f>K34-K46</f>
        <v/>
      </c>
      <c r="L47" s="8">
        <f>L34-L46</f>
        <v/>
      </c>
      <c r="M47" s="8">
        <f>M34-M46</f>
        <v/>
      </c>
      <c r="N47" s="8">
        <f>N34-N46</f>
        <v/>
      </c>
      <c r="O47" s="8">
        <f>O34-O46</f>
        <v/>
      </c>
      <c r="P47" s="8">
        <f>P34-P46</f>
        <v/>
      </c>
      <c r="Q47" s="8">
        <f>Q34-Q46</f>
        <v/>
      </c>
      <c r="R47" s="8">
        <f>R34-R46</f>
        <v/>
      </c>
      <c r="S47" s="8">
        <f>S34-S46</f>
        <v/>
      </c>
      <c r="T47" s="8">
        <f>T34-T46</f>
        <v/>
      </c>
      <c r="U47" s="8">
        <f>U34-U46</f>
        <v/>
      </c>
      <c r="V47" s="8">
        <f>V34-V46</f>
        <v/>
      </c>
      <c r="W47" s="8">
        <f>W34-W46</f>
        <v/>
      </c>
      <c r="X47" s="8">
        <f>X34-X46</f>
        <v/>
      </c>
      <c r="Y47" s="8">
        <f>Y34-Y46</f>
        <v/>
      </c>
      <c r="Z47" s="8">
        <f>Z34-Z46</f>
        <v/>
      </c>
      <c r="AA47" s="8">
        <f>AA34-AA46</f>
        <v/>
      </c>
      <c r="AB47" s="8">
        <f>AB34-AB46</f>
        <v/>
      </c>
      <c r="AC47" s="8">
        <f>AC34-AC46</f>
        <v/>
      </c>
      <c r="AD47" s="8">
        <f>AD34-AD46</f>
        <v/>
      </c>
      <c r="AE47" s="8">
        <f>AE34-AE46</f>
        <v/>
      </c>
      <c r="AF47" s="8">
        <f>AF34-AF46</f>
        <v/>
      </c>
      <c r="AG47" s="8">
        <f>AG34-AG46</f>
        <v/>
      </c>
      <c r="AH47" s="8">
        <f>AH34-AH46</f>
        <v/>
      </c>
      <c r="AI47" s="8">
        <f>AI34-AI46</f>
        <v/>
      </c>
      <c r="AJ47" s="8">
        <f>AJ34-AJ46</f>
        <v/>
      </c>
      <c r="AK47" s="8">
        <f>AK34-AK46</f>
        <v/>
      </c>
      <c r="AL47" s="8">
        <f>AL34-AL46</f>
        <v/>
      </c>
    </row>
    <row r="48">
      <c r="A48" s="2" t="inlineStr">
        <is>
          <t>Base</t>
        </is>
      </c>
      <c r="B48" s="2" t="inlineStr">
        <is>
          <t>Net cash flow incl. funding</t>
        </is>
      </c>
      <c r="C48" s="8">
        <f>C47+C35</f>
        <v/>
      </c>
      <c r="D48" s="8">
        <f>D47+D35</f>
        <v/>
      </c>
      <c r="E48" s="8">
        <f>E47+E35</f>
        <v/>
      </c>
      <c r="F48" s="8">
        <f>F47+F35</f>
        <v/>
      </c>
      <c r="G48" s="8">
        <f>G47+G35</f>
        <v/>
      </c>
      <c r="H48" s="8">
        <f>H47+H35</f>
        <v/>
      </c>
      <c r="I48" s="8">
        <f>I47+I35</f>
        <v/>
      </c>
      <c r="J48" s="8">
        <f>J47+J35</f>
        <v/>
      </c>
      <c r="K48" s="8">
        <f>K47+K35</f>
        <v/>
      </c>
      <c r="L48" s="8">
        <f>L47+L35</f>
        <v/>
      </c>
      <c r="M48" s="8">
        <f>M47+M35</f>
        <v/>
      </c>
      <c r="N48" s="8">
        <f>N47+N35</f>
        <v/>
      </c>
      <c r="O48" s="8">
        <f>O47+O35</f>
        <v/>
      </c>
      <c r="P48" s="8">
        <f>P47+P35</f>
        <v/>
      </c>
      <c r="Q48" s="8">
        <f>Q47+Q35</f>
        <v/>
      </c>
      <c r="R48" s="8">
        <f>R47+R35</f>
        <v/>
      </c>
      <c r="S48" s="8">
        <f>S47+S35</f>
        <v/>
      </c>
      <c r="T48" s="8">
        <f>T47+T35</f>
        <v/>
      </c>
      <c r="U48" s="8">
        <f>U47+U35</f>
        <v/>
      </c>
      <c r="V48" s="8">
        <f>V47+V35</f>
        <v/>
      </c>
      <c r="W48" s="8">
        <f>W47+W35</f>
        <v/>
      </c>
      <c r="X48" s="8">
        <f>X47+X35</f>
        <v/>
      </c>
      <c r="Y48" s="8">
        <f>Y47+Y35</f>
        <v/>
      </c>
      <c r="Z48" s="8">
        <f>Z47+Z35</f>
        <v/>
      </c>
      <c r="AA48" s="8">
        <f>AA47+AA35</f>
        <v/>
      </c>
      <c r="AB48" s="8">
        <f>AB47+AB35</f>
        <v/>
      </c>
      <c r="AC48" s="8">
        <f>AC47+AC35</f>
        <v/>
      </c>
      <c r="AD48" s="8">
        <f>AD47+AD35</f>
        <v/>
      </c>
      <c r="AE48" s="8">
        <f>AE47+AE35</f>
        <v/>
      </c>
      <c r="AF48" s="8">
        <f>AF47+AF35</f>
        <v/>
      </c>
      <c r="AG48" s="8">
        <f>AG47+AG35</f>
        <v/>
      </c>
      <c r="AH48" s="8">
        <f>AH47+AH35</f>
        <v/>
      </c>
      <c r="AI48" s="8">
        <f>AI47+AI35</f>
        <v/>
      </c>
      <c r="AJ48" s="8">
        <f>AJ47+AJ35</f>
        <v/>
      </c>
      <c r="AK48" s="8">
        <f>AK47+AK35</f>
        <v/>
      </c>
      <c r="AL48" s="8">
        <f>AL47+AL35</f>
        <v/>
      </c>
    </row>
    <row r="49">
      <c r="A49" s="2" t="inlineStr">
        <is>
          <t>Base</t>
        </is>
      </c>
      <c r="B49" s="2" t="inlineStr">
        <is>
          <t>Cumulative cash</t>
        </is>
      </c>
      <c r="C49" s="8">
        <f>Inputs!$E$2+C48</f>
        <v/>
      </c>
      <c r="D49" s="8">
        <f>C49+D48</f>
        <v/>
      </c>
      <c r="E49" s="8">
        <f>D49+E48</f>
        <v/>
      </c>
      <c r="F49" s="8">
        <f>E49+F48</f>
        <v/>
      </c>
      <c r="G49" s="8">
        <f>F49+G48</f>
        <v/>
      </c>
      <c r="H49" s="8">
        <f>G49+H48</f>
        <v/>
      </c>
      <c r="I49" s="8">
        <f>H49+I48</f>
        <v/>
      </c>
      <c r="J49" s="8">
        <f>I49+J48</f>
        <v/>
      </c>
      <c r="K49" s="8">
        <f>J49+K48</f>
        <v/>
      </c>
      <c r="L49" s="8">
        <f>K49+L48</f>
        <v/>
      </c>
      <c r="M49" s="8">
        <f>L49+M48</f>
        <v/>
      </c>
      <c r="N49" s="8">
        <f>M49+N48</f>
        <v/>
      </c>
      <c r="O49" s="8">
        <f>N49+O48</f>
        <v/>
      </c>
      <c r="P49" s="8">
        <f>O49+P48</f>
        <v/>
      </c>
      <c r="Q49" s="8">
        <f>P49+Q48</f>
        <v/>
      </c>
      <c r="R49" s="8">
        <f>Q49+R48</f>
        <v/>
      </c>
      <c r="S49" s="8">
        <f>R49+S48</f>
        <v/>
      </c>
      <c r="T49" s="8">
        <f>S49+T48</f>
        <v/>
      </c>
      <c r="U49" s="8">
        <f>T49+U48</f>
        <v/>
      </c>
      <c r="V49" s="8">
        <f>U49+V48</f>
        <v/>
      </c>
      <c r="W49" s="8">
        <f>V49+W48</f>
        <v/>
      </c>
      <c r="X49" s="8">
        <f>W49+X48</f>
        <v/>
      </c>
      <c r="Y49" s="8">
        <f>X49+Y48</f>
        <v/>
      </c>
      <c r="Z49" s="8">
        <f>Y49+Z48</f>
        <v/>
      </c>
      <c r="AA49" s="8">
        <f>Z49+AA48</f>
        <v/>
      </c>
      <c r="AB49" s="8">
        <f>AA49+AB48</f>
        <v/>
      </c>
      <c r="AC49" s="8">
        <f>AB49+AC48</f>
        <v/>
      </c>
      <c r="AD49" s="8">
        <f>AC49+AD48</f>
        <v/>
      </c>
      <c r="AE49" s="8">
        <f>AD49+AE48</f>
        <v/>
      </c>
      <c r="AF49" s="8">
        <f>AE49+AF48</f>
        <v/>
      </c>
      <c r="AG49" s="8">
        <f>AF49+AG48</f>
        <v/>
      </c>
      <c r="AH49" s="8">
        <f>AG49+AH48</f>
        <v/>
      </c>
      <c r="AI49" s="8">
        <f>AH49+AI48</f>
        <v/>
      </c>
      <c r="AJ49" s="8">
        <f>AI49+AJ48</f>
        <v/>
      </c>
      <c r="AK49" s="8">
        <f>AJ49+AK48</f>
        <v/>
      </c>
      <c r="AL49" s="8">
        <f>AK49+AL48</f>
        <v/>
      </c>
    </row>
    <row r="50">
      <c r="A50" s="2" t="inlineStr">
        <is>
          <t>Base</t>
        </is>
      </c>
      <c r="B50" s="2" t="inlineStr">
        <is>
          <t>Runway status</t>
        </is>
      </c>
      <c r="C50" s="2">
        <f>IF(C49&lt;0,"OUT","OK")</f>
        <v/>
      </c>
      <c r="D50" s="2">
        <f>IF(D49&lt;0,"OUT","OK")</f>
        <v/>
      </c>
      <c r="E50" s="2">
        <f>IF(E49&lt;0,"OUT","OK")</f>
        <v/>
      </c>
      <c r="F50" s="2">
        <f>IF(F49&lt;0,"OUT","OK")</f>
        <v/>
      </c>
      <c r="G50" s="2">
        <f>IF(G49&lt;0,"OUT","OK")</f>
        <v/>
      </c>
      <c r="H50" s="2">
        <f>IF(H49&lt;0,"OUT","OK")</f>
        <v/>
      </c>
      <c r="I50" s="2">
        <f>IF(I49&lt;0,"OUT","OK")</f>
        <v/>
      </c>
      <c r="J50" s="2">
        <f>IF(J49&lt;0,"OUT","OK")</f>
        <v/>
      </c>
      <c r="K50" s="2">
        <f>IF(K49&lt;0,"OUT","OK")</f>
        <v/>
      </c>
      <c r="L50" s="2">
        <f>IF(L49&lt;0,"OUT","OK")</f>
        <v/>
      </c>
      <c r="M50" s="2">
        <f>IF(M49&lt;0,"OUT","OK")</f>
        <v/>
      </c>
      <c r="N50" s="2">
        <f>IF(N49&lt;0,"OUT","OK")</f>
        <v/>
      </c>
      <c r="O50" s="2">
        <f>IF(O49&lt;0,"OUT","OK")</f>
        <v/>
      </c>
      <c r="P50" s="2">
        <f>IF(P49&lt;0,"OUT","OK")</f>
        <v/>
      </c>
      <c r="Q50" s="2">
        <f>IF(Q49&lt;0,"OUT","OK")</f>
        <v/>
      </c>
      <c r="R50" s="2">
        <f>IF(R49&lt;0,"OUT","OK")</f>
        <v/>
      </c>
      <c r="S50" s="2">
        <f>IF(S49&lt;0,"OUT","OK")</f>
        <v/>
      </c>
      <c r="T50" s="2">
        <f>IF(T49&lt;0,"OUT","OK")</f>
        <v/>
      </c>
      <c r="U50" s="2">
        <f>IF(U49&lt;0,"OUT","OK")</f>
        <v/>
      </c>
      <c r="V50" s="2">
        <f>IF(V49&lt;0,"OUT","OK")</f>
        <v/>
      </c>
      <c r="W50" s="2">
        <f>IF(W49&lt;0,"OUT","OK")</f>
        <v/>
      </c>
      <c r="X50" s="2">
        <f>IF(X49&lt;0,"OUT","OK")</f>
        <v/>
      </c>
      <c r="Y50" s="2">
        <f>IF(Y49&lt;0,"OUT","OK")</f>
        <v/>
      </c>
      <c r="Z50" s="2">
        <f>IF(Z49&lt;0,"OUT","OK")</f>
        <v/>
      </c>
      <c r="AA50" s="2">
        <f>IF(AA49&lt;0,"OUT","OK")</f>
        <v/>
      </c>
      <c r="AB50" s="2">
        <f>IF(AB49&lt;0,"OUT","OK")</f>
        <v/>
      </c>
      <c r="AC50" s="2">
        <f>IF(AC49&lt;0,"OUT","OK")</f>
        <v/>
      </c>
      <c r="AD50" s="2">
        <f>IF(AD49&lt;0,"OUT","OK")</f>
        <v/>
      </c>
      <c r="AE50" s="2">
        <f>IF(AE49&lt;0,"OUT","OK")</f>
        <v/>
      </c>
      <c r="AF50" s="2">
        <f>IF(AF49&lt;0,"OUT","OK")</f>
        <v/>
      </c>
      <c r="AG50" s="2">
        <f>IF(AG49&lt;0,"OUT","OK")</f>
        <v/>
      </c>
      <c r="AH50" s="2">
        <f>IF(AH49&lt;0,"OUT","OK")</f>
        <v/>
      </c>
      <c r="AI50" s="2">
        <f>IF(AI49&lt;0,"OUT","OK")</f>
        <v/>
      </c>
      <c r="AJ50" s="2">
        <f>IF(AJ49&lt;0,"OUT","OK")</f>
        <v/>
      </c>
      <c r="AK50" s="2">
        <f>IF(AK49&lt;0,"OUT","OK")</f>
        <v/>
      </c>
      <c r="AL50" s="2">
        <f>IF(AL49&lt;0,"OUT","OK")</f>
        <v/>
      </c>
    </row>
    <row r="51">
      <c r="A51" s="2" t="n"/>
      <c r="B51" s="2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</row>
    <row r="52">
      <c r="A52" s="2" t="inlineStr">
        <is>
          <t>Optimistic</t>
        </is>
      </c>
      <c r="B52" s="2" t="inlineStr">
        <is>
          <t>Active members</t>
        </is>
      </c>
      <c r="C52" s="7">
        <f>Inputs!$F$3*(1+Inputs!$F$4)^(1-1)</f>
        <v/>
      </c>
      <c r="D52" s="7">
        <f>Inputs!$F$3*(1+Inputs!$F$4)^(2-1)</f>
        <v/>
      </c>
      <c r="E52" s="7">
        <f>Inputs!$F$3*(1+Inputs!$F$4)^(3-1)</f>
        <v/>
      </c>
      <c r="F52" s="7">
        <f>Inputs!$F$3*(1+Inputs!$F$4)^(4-1)</f>
        <v/>
      </c>
      <c r="G52" s="7">
        <f>Inputs!$F$3*(1+Inputs!$F$4)^(5-1)</f>
        <v/>
      </c>
      <c r="H52" s="7">
        <f>Inputs!$F$3*(1+Inputs!$F$4)^(6-1)</f>
        <v/>
      </c>
      <c r="I52" s="7">
        <f>Inputs!$F$3*(1+Inputs!$F$4)^(7-1)</f>
        <v/>
      </c>
      <c r="J52" s="7">
        <f>Inputs!$F$3*(1+Inputs!$F$4)^(8-1)</f>
        <v/>
      </c>
      <c r="K52" s="7">
        <f>Inputs!$F$3*(1+Inputs!$F$4)^(9-1)</f>
        <v/>
      </c>
      <c r="L52" s="7">
        <f>Inputs!$F$3*(1+Inputs!$F$4)^(10-1)</f>
        <v/>
      </c>
      <c r="M52" s="7">
        <f>Inputs!$F$3*(1+Inputs!$F$4)^(11-1)</f>
        <v/>
      </c>
      <c r="N52" s="7">
        <f>Inputs!$F$3*(1+Inputs!$F$4)^(12-1)</f>
        <v/>
      </c>
      <c r="O52" s="7">
        <f>Inputs!$F$3*(1+Inputs!$F$4)^(13-1)</f>
        <v/>
      </c>
      <c r="P52" s="7">
        <f>Inputs!$F$3*(1+Inputs!$F$4)^(14-1)</f>
        <v/>
      </c>
      <c r="Q52" s="7">
        <f>Inputs!$F$3*(1+Inputs!$F$4)^(15-1)</f>
        <v/>
      </c>
      <c r="R52" s="7">
        <f>Inputs!$F$3*(1+Inputs!$F$4)^(16-1)</f>
        <v/>
      </c>
      <c r="S52" s="7">
        <f>Inputs!$F$3*(1+Inputs!$F$4)^(17-1)</f>
        <v/>
      </c>
      <c r="T52" s="7">
        <f>Inputs!$F$3*(1+Inputs!$F$4)^(18-1)</f>
        <v/>
      </c>
      <c r="U52" s="7">
        <f>Inputs!$F$3*(1+Inputs!$F$4)^(19-1)</f>
        <v/>
      </c>
      <c r="V52" s="7">
        <f>Inputs!$F$3*(1+Inputs!$F$4)^(20-1)</f>
        <v/>
      </c>
      <c r="W52" s="7">
        <f>Inputs!$F$3*(1+Inputs!$F$4)^(21-1)</f>
        <v/>
      </c>
      <c r="X52" s="7">
        <f>Inputs!$F$3*(1+Inputs!$F$4)^(22-1)</f>
        <v/>
      </c>
      <c r="Y52" s="7">
        <f>Inputs!$F$3*(1+Inputs!$F$4)^(23-1)</f>
        <v/>
      </c>
      <c r="Z52" s="7">
        <f>Inputs!$F$3*(1+Inputs!$F$4)^(24-1)</f>
        <v/>
      </c>
      <c r="AA52" s="7">
        <f>Inputs!$F$3*(1+Inputs!$F$4)^(25-1)</f>
        <v/>
      </c>
      <c r="AB52" s="7">
        <f>Inputs!$F$3*(1+Inputs!$F$4)^(26-1)</f>
        <v/>
      </c>
      <c r="AC52" s="7">
        <f>Inputs!$F$3*(1+Inputs!$F$4)^(27-1)</f>
        <v/>
      </c>
      <c r="AD52" s="7">
        <f>Inputs!$F$3*(1+Inputs!$F$4)^(28-1)</f>
        <v/>
      </c>
      <c r="AE52" s="7">
        <f>Inputs!$F$3*(1+Inputs!$F$4)^(29-1)</f>
        <v/>
      </c>
      <c r="AF52" s="7">
        <f>Inputs!$F$3*(1+Inputs!$F$4)^(30-1)</f>
        <v/>
      </c>
      <c r="AG52" s="7">
        <f>Inputs!$F$3*(1+Inputs!$F$4)^(31-1)</f>
        <v/>
      </c>
      <c r="AH52" s="7">
        <f>Inputs!$F$3*(1+Inputs!$F$4)^(32-1)</f>
        <v/>
      </c>
      <c r="AI52" s="7">
        <f>Inputs!$F$3*(1+Inputs!$F$4)^(33-1)</f>
        <v/>
      </c>
      <c r="AJ52" s="7">
        <f>Inputs!$F$3*(1+Inputs!$F$4)^(34-1)</f>
        <v/>
      </c>
      <c r="AK52" s="7">
        <f>Inputs!$F$3*(1+Inputs!$F$4)^(35-1)</f>
        <v/>
      </c>
      <c r="AL52" s="7">
        <f>Inputs!$F$3*(1+Inputs!$F$4)^(36-1)</f>
        <v/>
      </c>
    </row>
    <row r="53">
      <c r="A53" s="2" t="inlineStr">
        <is>
          <t>Optimistic</t>
        </is>
      </c>
      <c r="B53" s="2" t="inlineStr">
        <is>
          <t>Paid members</t>
        </is>
      </c>
      <c r="C53" s="7">
        <f>C52*Inputs!$F$5</f>
        <v/>
      </c>
      <c r="D53" s="7">
        <f>D52*Inputs!$F$5</f>
        <v/>
      </c>
      <c r="E53" s="7">
        <f>E52*Inputs!$F$5</f>
        <v/>
      </c>
      <c r="F53" s="7">
        <f>F52*Inputs!$F$5</f>
        <v/>
      </c>
      <c r="G53" s="7">
        <f>G52*Inputs!$F$5</f>
        <v/>
      </c>
      <c r="H53" s="7">
        <f>H52*Inputs!$F$5</f>
        <v/>
      </c>
      <c r="I53" s="7">
        <f>I52*Inputs!$F$5</f>
        <v/>
      </c>
      <c r="J53" s="7">
        <f>J52*Inputs!$F$5</f>
        <v/>
      </c>
      <c r="K53" s="7">
        <f>K52*Inputs!$F$5</f>
        <v/>
      </c>
      <c r="L53" s="7">
        <f>L52*Inputs!$F$5</f>
        <v/>
      </c>
      <c r="M53" s="7">
        <f>M52*Inputs!$F$5</f>
        <v/>
      </c>
      <c r="N53" s="7">
        <f>N52*Inputs!$F$5</f>
        <v/>
      </c>
      <c r="O53" s="7">
        <f>O52*Inputs!$F$5</f>
        <v/>
      </c>
      <c r="P53" s="7">
        <f>P52*Inputs!$F$5</f>
        <v/>
      </c>
      <c r="Q53" s="7">
        <f>Q52*Inputs!$F$5</f>
        <v/>
      </c>
      <c r="R53" s="7">
        <f>R52*Inputs!$F$5</f>
        <v/>
      </c>
      <c r="S53" s="7">
        <f>S52*Inputs!$F$5</f>
        <v/>
      </c>
      <c r="T53" s="7">
        <f>T52*Inputs!$F$5</f>
        <v/>
      </c>
      <c r="U53" s="7">
        <f>U52*Inputs!$F$5</f>
        <v/>
      </c>
      <c r="V53" s="7">
        <f>V52*Inputs!$F$5</f>
        <v/>
      </c>
      <c r="W53" s="7">
        <f>W52*Inputs!$F$5</f>
        <v/>
      </c>
      <c r="X53" s="7">
        <f>X52*Inputs!$F$5</f>
        <v/>
      </c>
      <c r="Y53" s="7">
        <f>Y52*Inputs!$F$5</f>
        <v/>
      </c>
      <c r="Z53" s="7">
        <f>Z52*Inputs!$F$5</f>
        <v/>
      </c>
      <c r="AA53" s="7">
        <f>AA52*Inputs!$F$5</f>
        <v/>
      </c>
      <c r="AB53" s="7">
        <f>AB52*Inputs!$F$5</f>
        <v/>
      </c>
      <c r="AC53" s="7">
        <f>AC52*Inputs!$F$5</f>
        <v/>
      </c>
      <c r="AD53" s="7">
        <f>AD52*Inputs!$F$5</f>
        <v/>
      </c>
      <c r="AE53" s="7">
        <f>AE52*Inputs!$F$5</f>
        <v/>
      </c>
      <c r="AF53" s="7">
        <f>AF52*Inputs!$F$5</f>
        <v/>
      </c>
      <c r="AG53" s="7">
        <f>AG52*Inputs!$F$5</f>
        <v/>
      </c>
      <c r="AH53" s="7">
        <f>AH52*Inputs!$F$5</f>
        <v/>
      </c>
      <c r="AI53" s="7">
        <f>AI52*Inputs!$F$5</f>
        <v/>
      </c>
      <c r="AJ53" s="7">
        <f>AJ52*Inputs!$F$5</f>
        <v/>
      </c>
      <c r="AK53" s="7">
        <f>AK52*Inputs!$F$5</f>
        <v/>
      </c>
      <c r="AL53" s="7">
        <f>AL52*Inputs!$F$5</f>
        <v/>
      </c>
    </row>
    <row r="54">
      <c r="A54" s="2" t="inlineStr">
        <is>
          <t>Optimistic</t>
        </is>
      </c>
      <c r="B54" s="2" t="inlineStr">
        <is>
          <t>Membership revenue</t>
        </is>
      </c>
      <c r="C54" s="8">
        <f>C53*Inputs!$F$6</f>
        <v/>
      </c>
      <c r="D54" s="8">
        <f>D53*Inputs!$F$6</f>
        <v/>
      </c>
      <c r="E54" s="8">
        <f>E53*Inputs!$F$6</f>
        <v/>
      </c>
      <c r="F54" s="8">
        <f>F53*Inputs!$F$6</f>
        <v/>
      </c>
      <c r="G54" s="8">
        <f>G53*Inputs!$F$6</f>
        <v/>
      </c>
      <c r="H54" s="8">
        <f>H53*Inputs!$F$6</f>
        <v/>
      </c>
      <c r="I54" s="8">
        <f>I53*Inputs!$F$6</f>
        <v/>
      </c>
      <c r="J54" s="8">
        <f>J53*Inputs!$F$6</f>
        <v/>
      </c>
      <c r="K54" s="8">
        <f>K53*Inputs!$F$6</f>
        <v/>
      </c>
      <c r="L54" s="8">
        <f>L53*Inputs!$F$6</f>
        <v/>
      </c>
      <c r="M54" s="8">
        <f>M53*Inputs!$F$6</f>
        <v/>
      </c>
      <c r="N54" s="8">
        <f>N53*Inputs!$F$6</f>
        <v/>
      </c>
      <c r="O54" s="8">
        <f>O53*Inputs!$F$6</f>
        <v/>
      </c>
      <c r="P54" s="8">
        <f>P53*Inputs!$F$6</f>
        <v/>
      </c>
      <c r="Q54" s="8">
        <f>Q53*Inputs!$F$6</f>
        <v/>
      </c>
      <c r="R54" s="8">
        <f>R53*Inputs!$F$6</f>
        <v/>
      </c>
      <c r="S54" s="8">
        <f>S53*Inputs!$F$6</f>
        <v/>
      </c>
      <c r="T54" s="8">
        <f>T53*Inputs!$F$6</f>
        <v/>
      </c>
      <c r="U54" s="8">
        <f>U53*Inputs!$F$6</f>
        <v/>
      </c>
      <c r="V54" s="8">
        <f>V53*Inputs!$F$6</f>
        <v/>
      </c>
      <c r="W54" s="8">
        <f>W53*Inputs!$F$6</f>
        <v/>
      </c>
      <c r="X54" s="8">
        <f>X53*Inputs!$F$6</f>
        <v/>
      </c>
      <c r="Y54" s="8">
        <f>Y53*Inputs!$F$6</f>
        <v/>
      </c>
      <c r="Z54" s="8">
        <f>Z53*Inputs!$F$6</f>
        <v/>
      </c>
      <c r="AA54" s="8">
        <f>AA53*Inputs!$F$6</f>
        <v/>
      </c>
      <c r="AB54" s="8">
        <f>AB53*Inputs!$F$6</f>
        <v/>
      </c>
      <c r="AC54" s="8">
        <f>AC53*Inputs!$F$6</f>
        <v/>
      </c>
      <c r="AD54" s="8">
        <f>AD53*Inputs!$F$6</f>
        <v/>
      </c>
      <c r="AE54" s="8">
        <f>AE53*Inputs!$F$6</f>
        <v/>
      </c>
      <c r="AF54" s="8">
        <f>AF53*Inputs!$F$6</f>
        <v/>
      </c>
      <c r="AG54" s="8">
        <f>AG53*Inputs!$F$6</f>
        <v/>
      </c>
      <c r="AH54" s="8">
        <f>AH53*Inputs!$F$6</f>
        <v/>
      </c>
      <c r="AI54" s="8">
        <f>AI53*Inputs!$F$6</f>
        <v/>
      </c>
      <c r="AJ54" s="8">
        <f>AJ53*Inputs!$F$6</f>
        <v/>
      </c>
      <c r="AK54" s="8">
        <f>AK53*Inputs!$F$6</f>
        <v/>
      </c>
      <c r="AL54" s="8">
        <f>AL53*Inputs!$F$6</f>
        <v/>
      </c>
    </row>
    <row r="55">
      <c r="A55" s="2" t="inlineStr">
        <is>
          <t>Optimistic</t>
        </is>
      </c>
      <c r="B55" s="2" t="inlineStr">
        <is>
          <t>Collaborative events</t>
        </is>
      </c>
      <c r="C55" s="7">
        <f>Inputs!$F$7*(1+Inputs!$F$8)^(1-1)</f>
        <v/>
      </c>
      <c r="D55" s="7">
        <f>Inputs!$F$7*(1+Inputs!$F$8)^(2-1)</f>
        <v/>
      </c>
      <c r="E55" s="7">
        <f>Inputs!$F$7*(1+Inputs!$F$8)^(3-1)</f>
        <v/>
      </c>
      <c r="F55" s="7">
        <f>Inputs!$F$7*(1+Inputs!$F$8)^(4-1)</f>
        <v/>
      </c>
      <c r="G55" s="7">
        <f>Inputs!$F$7*(1+Inputs!$F$8)^(5-1)</f>
        <v/>
      </c>
      <c r="H55" s="7">
        <f>Inputs!$F$7*(1+Inputs!$F$8)^(6-1)</f>
        <v/>
      </c>
      <c r="I55" s="7">
        <f>Inputs!$F$7*(1+Inputs!$F$8)^(7-1)</f>
        <v/>
      </c>
      <c r="J55" s="7">
        <f>Inputs!$F$7*(1+Inputs!$F$8)^(8-1)</f>
        <v/>
      </c>
      <c r="K55" s="7">
        <f>Inputs!$F$7*(1+Inputs!$F$8)^(9-1)</f>
        <v/>
      </c>
      <c r="L55" s="7">
        <f>Inputs!$F$7*(1+Inputs!$F$8)^(10-1)</f>
        <v/>
      </c>
      <c r="M55" s="7">
        <f>Inputs!$F$7*(1+Inputs!$F$8)^(11-1)</f>
        <v/>
      </c>
      <c r="N55" s="7">
        <f>Inputs!$F$7*(1+Inputs!$F$8)^(12-1)</f>
        <v/>
      </c>
      <c r="O55" s="7">
        <f>Inputs!$F$7*(1+Inputs!$F$8)^(13-1)</f>
        <v/>
      </c>
      <c r="P55" s="7">
        <f>Inputs!$F$7*(1+Inputs!$F$8)^(14-1)</f>
        <v/>
      </c>
      <c r="Q55" s="7">
        <f>Inputs!$F$7*(1+Inputs!$F$8)^(15-1)</f>
        <v/>
      </c>
      <c r="R55" s="7">
        <f>Inputs!$F$7*(1+Inputs!$F$8)^(16-1)</f>
        <v/>
      </c>
      <c r="S55" s="7">
        <f>Inputs!$F$7*(1+Inputs!$F$8)^(17-1)</f>
        <v/>
      </c>
      <c r="T55" s="7">
        <f>Inputs!$F$7*(1+Inputs!$F$8)^(18-1)</f>
        <v/>
      </c>
      <c r="U55" s="7">
        <f>Inputs!$F$7*(1+Inputs!$F$8)^(19-1)</f>
        <v/>
      </c>
      <c r="V55" s="7">
        <f>Inputs!$F$7*(1+Inputs!$F$8)^(20-1)</f>
        <v/>
      </c>
      <c r="W55" s="7">
        <f>Inputs!$F$7*(1+Inputs!$F$8)^(21-1)</f>
        <v/>
      </c>
      <c r="X55" s="7">
        <f>Inputs!$F$7*(1+Inputs!$F$8)^(22-1)</f>
        <v/>
      </c>
      <c r="Y55" s="7">
        <f>Inputs!$F$7*(1+Inputs!$F$8)^(23-1)</f>
        <v/>
      </c>
      <c r="Z55" s="7">
        <f>Inputs!$F$7*(1+Inputs!$F$8)^(24-1)</f>
        <v/>
      </c>
      <c r="AA55" s="7">
        <f>Inputs!$F$7*(1+Inputs!$F$8)^(25-1)</f>
        <v/>
      </c>
      <c r="AB55" s="7">
        <f>Inputs!$F$7*(1+Inputs!$F$8)^(26-1)</f>
        <v/>
      </c>
      <c r="AC55" s="7">
        <f>Inputs!$F$7*(1+Inputs!$F$8)^(27-1)</f>
        <v/>
      </c>
      <c r="AD55" s="7">
        <f>Inputs!$F$7*(1+Inputs!$F$8)^(28-1)</f>
        <v/>
      </c>
      <c r="AE55" s="7">
        <f>Inputs!$F$7*(1+Inputs!$F$8)^(29-1)</f>
        <v/>
      </c>
      <c r="AF55" s="7">
        <f>Inputs!$F$7*(1+Inputs!$F$8)^(30-1)</f>
        <v/>
      </c>
      <c r="AG55" s="7">
        <f>Inputs!$F$7*(1+Inputs!$F$8)^(31-1)</f>
        <v/>
      </c>
      <c r="AH55" s="7">
        <f>Inputs!$F$7*(1+Inputs!$F$8)^(32-1)</f>
        <v/>
      </c>
      <c r="AI55" s="7">
        <f>Inputs!$F$7*(1+Inputs!$F$8)^(33-1)</f>
        <v/>
      </c>
      <c r="AJ55" s="7">
        <f>Inputs!$F$7*(1+Inputs!$F$8)^(34-1)</f>
        <v/>
      </c>
      <c r="AK55" s="7">
        <f>Inputs!$F$7*(1+Inputs!$F$8)^(35-1)</f>
        <v/>
      </c>
      <c r="AL55" s="7">
        <f>Inputs!$F$7*(1+Inputs!$F$8)^(36-1)</f>
        <v/>
      </c>
    </row>
    <row r="56">
      <c r="A56" s="2" t="inlineStr">
        <is>
          <t>Optimistic</t>
        </is>
      </c>
      <c r="B56" s="2" t="inlineStr">
        <is>
          <t>Event revenue</t>
        </is>
      </c>
      <c r="C56" s="8">
        <f>C55*Inputs!$F$9</f>
        <v/>
      </c>
      <c r="D56" s="8">
        <f>D55*Inputs!$F$9</f>
        <v/>
      </c>
      <c r="E56" s="8">
        <f>E55*Inputs!$F$9</f>
        <v/>
      </c>
      <c r="F56" s="8">
        <f>F55*Inputs!$F$9</f>
        <v/>
      </c>
      <c r="G56" s="8">
        <f>G55*Inputs!$F$9</f>
        <v/>
      </c>
      <c r="H56" s="8">
        <f>H55*Inputs!$F$9</f>
        <v/>
      </c>
      <c r="I56" s="8">
        <f>I55*Inputs!$F$9</f>
        <v/>
      </c>
      <c r="J56" s="8">
        <f>J55*Inputs!$F$9</f>
        <v/>
      </c>
      <c r="K56" s="8">
        <f>K55*Inputs!$F$9</f>
        <v/>
      </c>
      <c r="L56" s="8">
        <f>L55*Inputs!$F$9</f>
        <v/>
      </c>
      <c r="M56" s="8">
        <f>M55*Inputs!$F$9</f>
        <v/>
      </c>
      <c r="N56" s="8">
        <f>N55*Inputs!$F$9</f>
        <v/>
      </c>
      <c r="O56" s="8">
        <f>O55*Inputs!$F$9</f>
        <v/>
      </c>
      <c r="P56" s="8">
        <f>P55*Inputs!$F$9</f>
        <v/>
      </c>
      <c r="Q56" s="8">
        <f>Q55*Inputs!$F$9</f>
        <v/>
      </c>
      <c r="R56" s="8">
        <f>R55*Inputs!$F$9</f>
        <v/>
      </c>
      <c r="S56" s="8">
        <f>S55*Inputs!$F$9</f>
        <v/>
      </c>
      <c r="T56" s="8">
        <f>T55*Inputs!$F$9</f>
        <v/>
      </c>
      <c r="U56" s="8">
        <f>U55*Inputs!$F$9</f>
        <v/>
      </c>
      <c r="V56" s="8">
        <f>V55*Inputs!$F$9</f>
        <v/>
      </c>
      <c r="W56" s="8">
        <f>W55*Inputs!$F$9</f>
        <v/>
      </c>
      <c r="X56" s="8">
        <f>X55*Inputs!$F$9</f>
        <v/>
      </c>
      <c r="Y56" s="8">
        <f>Y55*Inputs!$F$9</f>
        <v/>
      </c>
      <c r="Z56" s="8">
        <f>Z55*Inputs!$F$9</f>
        <v/>
      </c>
      <c r="AA56" s="8">
        <f>AA55*Inputs!$F$9</f>
        <v/>
      </c>
      <c r="AB56" s="8">
        <f>AB55*Inputs!$F$9</f>
        <v/>
      </c>
      <c r="AC56" s="8">
        <f>AC55*Inputs!$F$9</f>
        <v/>
      </c>
      <c r="AD56" s="8">
        <f>AD55*Inputs!$F$9</f>
        <v/>
      </c>
      <c r="AE56" s="8">
        <f>AE55*Inputs!$F$9</f>
        <v/>
      </c>
      <c r="AF56" s="8">
        <f>AF55*Inputs!$F$9</f>
        <v/>
      </c>
      <c r="AG56" s="8">
        <f>AG55*Inputs!$F$9</f>
        <v/>
      </c>
      <c r="AH56" s="8">
        <f>AH55*Inputs!$F$9</f>
        <v/>
      </c>
      <c r="AI56" s="8">
        <f>AI55*Inputs!$F$9</f>
        <v/>
      </c>
      <c r="AJ56" s="8">
        <f>AJ55*Inputs!$F$9</f>
        <v/>
      </c>
      <c r="AK56" s="8">
        <f>AK55*Inputs!$F$9</f>
        <v/>
      </c>
      <c r="AL56" s="8">
        <f>AL55*Inputs!$F$9</f>
        <v/>
      </c>
    </row>
    <row r="57">
      <c r="A57" s="2" t="inlineStr">
        <is>
          <t>Optimistic</t>
        </is>
      </c>
      <c r="B57" s="2" t="inlineStr">
        <is>
          <t>Automation/services revenue</t>
        </is>
      </c>
      <c r="C57" s="8">
        <f>Inputs!$F$11*(1+Inputs!$F$12)^(1-1)</f>
        <v/>
      </c>
      <c r="D57" s="8">
        <f>Inputs!$F$11*(1+Inputs!$F$12)^(2-1)</f>
        <v/>
      </c>
      <c r="E57" s="8">
        <f>Inputs!$F$11*(1+Inputs!$F$12)^(3-1)</f>
        <v/>
      </c>
      <c r="F57" s="8">
        <f>Inputs!$F$11*(1+Inputs!$F$12)^(4-1)</f>
        <v/>
      </c>
      <c r="G57" s="8">
        <f>Inputs!$F$11*(1+Inputs!$F$12)^(5-1)</f>
        <v/>
      </c>
      <c r="H57" s="8">
        <f>Inputs!$F$11*(1+Inputs!$F$12)^(6-1)</f>
        <v/>
      </c>
      <c r="I57" s="8">
        <f>Inputs!$F$11*(1+Inputs!$F$12)^(7-1)</f>
        <v/>
      </c>
      <c r="J57" s="8">
        <f>Inputs!$F$11*(1+Inputs!$F$12)^(8-1)</f>
        <v/>
      </c>
      <c r="K57" s="8">
        <f>Inputs!$F$11*(1+Inputs!$F$12)^(9-1)</f>
        <v/>
      </c>
      <c r="L57" s="8">
        <f>Inputs!$F$11*(1+Inputs!$F$12)^(10-1)</f>
        <v/>
      </c>
      <c r="M57" s="8">
        <f>Inputs!$F$11*(1+Inputs!$F$12)^(11-1)</f>
        <v/>
      </c>
      <c r="N57" s="8">
        <f>Inputs!$F$11*(1+Inputs!$F$12)^(12-1)</f>
        <v/>
      </c>
      <c r="O57" s="8">
        <f>Inputs!$F$11*(1+Inputs!$F$12)^(13-1)</f>
        <v/>
      </c>
      <c r="P57" s="8">
        <f>Inputs!$F$11*(1+Inputs!$F$12)^(14-1)</f>
        <v/>
      </c>
      <c r="Q57" s="8">
        <f>Inputs!$F$11*(1+Inputs!$F$12)^(15-1)</f>
        <v/>
      </c>
      <c r="R57" s="8">
        <f>Inputs!$F$11*(1+Inputs!$F$12)^(16-1)</f>
        <v/>
      </c>
      <c r="S57" s="8">
        <f>Inputs!$F$11*(1+Inputs!$F$12)^(17-1)</f>
        <v/>
      </c>
      <c r="T57" s="8">
        <f>Inputs!$F$11*(1+Inputs!$F$12)^(18-1)</f>
        <v/>
      </c>
      <c r="U57" s="8">
        <f>Inputs!$F$11*(1+Inputs!$F$12)^(19-1)</f>
        <v/>
      </c>
      <c r="V57" s="8">
        <f>Inputs!$F$11*(1+Inputs!$F$12)^(20-1)</f>
        <v/>
      </c>
      <c r="W57" s="8">
        <f>Inputs!$F$11*(1+Inputs!$F$12)^(21-1)</f>
        <v/>
      </c>
      <c r="X57" s="8">
        <f>Inputs!$F$11*(1+Inputs!$F$12)^(22-1)</f>
        <v/>
      </c>
      <c r="Y57" s="8">
        <f>Inputs!$F$11*(1+Inputs!$F$12)^(23-1)</f>
        <v/>
      </c>
      <c r="Z57" s="8">
        <f>Inputs!$F$11*(1+Inputs!$F$12)^(24-1)</f>
        <v/>
      </c>
      <c r="AA57" s="8">
        <f>Inputs!$F$11*(1+Inputs!$F$12)^(25-1)</f>
        <v/>
      </c>
      <c r="AB57" s="8">
        <f>Inputs!$F$11*(1+Inputs!$F$12)^(26-1)</f>
        <v/>
      </c>
      <c r="AC57" s="8">
        <f>Inputs!$F$11*(1+Inputs!$F$12)^(27-1)</f>
        <v/>
      </c>
      <c r="AD57" s="8">
        <f>Inputs!$F$11*(1+Inputs!$F$12)^(28-1)</f>
        <v/>
      </c>
      <c r="AE57" s="8">
        <f>Inputs!$F$11*(1+Inputs!$F$12)^(29-1)</f>
        <v/>
      </c>
      <c r="AF57" s="8">
        <f>Inputs!$F$11*(1+Inputs!$F$12)^(30-1)</f>
        <v/>
      </c>
      <c r="AG57" s="8">
        <f>Inputs!$F$11*(1+Inputs!$F$12)^(31-1)</f>
        <v/>
      </c>
      <c r="AH57" s="8">
        <f>Inputs!$F$11*(1+Inputs!$F$12)^(32-1)</f>
        <v/>
      </c>
      <c r="AI57" s="8">
        <f>Inputs!$F$11*(1+Inputs!$F$12)^(33-1)</f>
        <v/>
      </c>
      <c r="AJ57" s="8">
        <f>Inputs!$F$11*(1+Inputs!$F$12)^(34-1)</f>
        <v/>
      </c>
      <c r="AK57" s="8">
        <f>Inputs!$F$11*(1+Inputs!$F$12)^(35-1)</f>
        <v/>
      </c>
      <c r="AL57" s="8">
        <f>Inputs!$F$11*(1+Inputs!$F$12)^(36-1)</f>
        <v/>
      </c>
    </row>
    <row r="58">
      <c r="A58" s="2" t="inlineStr">
        <is>
          <t>Optimistic</t>
        </is>
      </c>
      <c r="B58" s="2" t="inlineStr">
        <is>
          <t>Merch net revenue</t>
        </is>
      </c>
      <c r="C58" s="8">
        <f>IF(1&lt;Inputs!$F$13,0,Inputs!$F$14*(1+Inputs!$F$15)^(1-Inputs!$F$13)*Inputs!$F$16)</f>
        <v/>
      </c>
      <c r="D58" s="8">
        <f>IF(2&lt;Inputs!$F$13,0,Inputs!$F$14*(1+Inputs!$F$15)^(2-Inputs!$F$13)*Inputs!$F$16)</f>
        <v/>
      </c>
      <c r="E58" s="8">
        <f>IF(3&lt;Inputs!$F$13,0,Inputs!$F$14*(1+Inputs!$F$15)^(3-Inputs!$F$13)*Inputs!$F$16)</f>
        <v/>
      </c>
      <c r="F58" s="8">
        <f>IF(4&lt;Inputs!$F$13,0,Inputs!$F$14*(1+Inputs!$F$15)^(4-Inputs!$F$13)*Inputs!$F$16)</f>
        <v/>
      </c>
      <c r="G58" s="8">
        <f>IF(5&lt;Inputs!$F$13,0,Inputs!$F$14*(1+Inputs!$F$15)^(5-Inputs!$F$13)*Inputs!$F$16)</f>
        <v/>
      </c>
      <c r="H58" s="8">
        <f>IF(6&lt;Inputs!$F$13,0,Inputs!$F$14*(1+Inputs!$F$15)^(6-Inputs!$F$13)*Inputs!$F$16)</f>
        <v/>
      </c>
      <c r="I58" s="8">
        <f>IF(7&lt;Inputs!$F$13,0,Inputs!$F$14*(1+Inputs!$F$15)^(7-Inputs!$F$13)*Inputs!$F$16)</f>
        <v/>
      </c>
      <c r="J58" s="8">
        <f>IF(8&lt;Inputs!$F$13,0,Inputs!$F$14*(1+Inputs!$F$15)^(8-Inputs!$F$13)*Inputs!$F$16)</f>
        <v/>
      </c>
      <c r="K58" s="8">
        <f>IF(9&lt;Inputs!$F$13,0,Inputs!$F$14*(1+Inputs!$F$15)^(9-Inputs!$F$13)*Inputs!$F$16)</f>
        <v/>
      </c>
      <c r="L58" s="8">
        <f>IF(10&lt;Inputs!$F$13,0,Inputs!$F$14*(1+Inputs!$F$15)^(10-Inputs!$F$13)*Inputs!$F$16)</f>
        <v/>
      </c>
      <c r="M58" s="8">
        <f>IF(11&lt;Inputs!$F$13,0,Inputs!$F$14*(1+Inputs!$F$15)^(11-Inputs!$F$13)*Inputs!$F$16)</f>
        <v/>
      </c>
      <c r="N58" s="8">
        <f>IF(12&lt;Inputs!$F$13,0,Inputs!$F$14*(1+Inputs!$F$15)^(12-Inputs!$F$13)*Inputs!$F$16)</f>
        <v/>
      </c>
      <c r="O58" s="8">
        <f>IF(13&lt;Inputs!$F$13,0,Inputs!$F$14*(1+Inputs!$F$15)^(13-Inputs!$F$13)*Inputs!$F$16)</f>
        <v/>
      </c>
      <c r="P58" s="8">
        <f>IF(14&lt;Inputs!$F$13,0,Inputs!$F$14*(1+Inputs!$F$15)^(14-Inputs!$F$13)*Inputs!$F$16)</f>
        <v/>
      </c>
      <c r="Q58" s="8">
        <f>IF(15&lt;Inputs!$F$13,0,Inputs!$F$14*(1+Inputs!$F$15)^(15-Inputs!$F$13)*Inputs!$F$16)</f>
        <v/>
      </c>
      <c r="R58" s="8">
        <f>IF(16&lt;Inputs!$F$13,0,Inputs!$F$14*(1+Inputs!$F$15)^(16-Inputs!$F$13)*Inputs!$F$16)</f>
        <v/>
      </c>
      <c r="S58" s="8">
        <f>IF(17&lt;Inputs!$F$13,0,Inputs!$F$14*(1+Inputs!$F$15)^(17-Inputs!$F$13)*Inputs!$F$16)</f>
        <v/>
      </c>
      <c r="T58" s="8">
        <f>IF(18&lt;Inputs!$F$13,0,Inputs!$F$14*(1+Inputs!$F$15)^(18-Inputs!$F$13)*Inputs!$F$16)</f>
        <v/>
      </c>
      <c r="U58" s="8">
        <f>IF(19&lt;Inputs!$F$13,0,Inputs!$F$14*(1+Inputs!$F$15)^(19-Inputs!$F$13)*Inputs!$F$16)</f>
        <v/>
      </c>
      <c r="V58" s="8">
        <f>IF(20&lt;Inputs!$F$13,0,Inputs!$F$14*(1+Inputs!$F$15)^(20-Inputs!$F$13)*Inputs!$F$16)</f>
        <v/>
      </c>
      <c r="W58" s="8">
        <f>IF(21&lt;Inputs!$F$13,0,Inputs!$F$14*(1+Inputs!$F$15)^(21-Inputs!$F$13)*Inputs!$F$16)</f>
        <v/>
      </c>
      <c r="X58" s="8">
        <f>IF(22&lt;Inputs!$F$13,0,Inputs!$F$14*(1+Inputs!$F$15)^(22-Inputs!$F$13)*Inputs!$F$16)</f>
        <v/>
      </c>
      <c r="Y58" s="8">
        <f>IF(23&lt;Inputs!$F$13,0,Inputs!$F$14*(1+Inputs!$F$15)^(23-Inputs!$F$13)*Inputs!$F$16)</f>
        <v/>
      </c>
      <c r="Z58" s="8">
        <f>IF(24&lt;Inputs!$F$13,0,Inputs!$F$14*(1+Inputs!$F$15)^(24-Inputs!$F$13)*Inputs!$F$16)</f>
        <v/>
      </c>
      <c r="AA58" s="8">
        <f>IF(25&lt;Inputs!$F$13,0,Inputs!$F$14*(1+Inputs!$F$15)^(25-Inputs!$F$13)*Inputs!$F$16)</f>
        <v/>
      </c>
      <c r="AB58" s="8">
        <f>IF(26&lt;Inputs!$F$13,0,Inputs!$F$14*(1+Inputs!$F$15)^(26-Inputs!$F$13)*Inputs!$F$16)</f>
        <v/>
      </c>
      <c r="AC58" s="8">
        <f>IF(27&lt;Inputs!$F$13,0,Inputs!$F$14*(1+Inputs!$F$15)^(27-Inputs!$F$13)*Inputs!$F$16)</f>
        <v/>
      </c>
      <c r="AD58" s="8">
        <f>IF(28&lt;Inputs!$F$13,0,Inputs!$F$14*(1+Inputs!$F$15)^(28-Inputs!$F$13)*Inputs!$F$16)</f>
        <v/>
      </c>
      <c r="AE58" s="8">
        <f>IF(29&lt;Inputs!$F$13,0,Inputs!$F$14*(1+Inputs!$F$15)^(29-Inputs!$F$13)*Inputs!$F$16)</f>
        <v/>
      </c>
      <c r="AF58" s="8">
        <f>IF(30&lt;Inputs!$F$13,0,Inputs!$F$14*(1+Inputs!$F$15)^(30-Inputs!$F$13)*Inputs!$F$16)</f>
        <v/>
      </c>
      <c r="AG58" s="8">
        <f>IF(31&lt;Inputs!$F$13,0,Inputs!$F$14*(1+Inputs!$F$15)^(31-Inputs!$F$13)*Inputs!$F$16)</f>
        <v/>
      </c>
      <c r="AH58" s="8">
        <f>IF(32&lt;Inputs!$F$13,0,Inputs!$F$14*(1+Inputs!$F$15)^(32-Inputs!$F$13)*Inputs!$F$16)</f>
        <v/>
      </c>
      <c r="AI58" s="8">
        <f>IF(33&lt;Inputs!$F$13,0,Inputs!$F$14*(1+Inputs!$F$15)^(33-Inputs!$F$13)*Inputs!$F$16)</f>
        <v/>
      </c>
      <c r="AJ58" s="8">
        <f>IF(34&lt;Inputs!$F$13,0,Inputs!$F$14*(1+Inputs!$F$15)^(34-Inputs!$F$13)*Inputs!$F$16)</f>
        <v/>
      </c>
      <c r="AK58" s="8">
        <f>IF(35&lt;Inputs!$F$13,0,Inputs!$F$14*(1+Inputs!$F$15)^(35-Inputs!$F$13)*Inputs!$F$16)</f>
        <v/>
      </c>
      <c r="AL58" s="8">
        <f>IF(36&lt;Inputs!$F$13,0,Inputs!$F$14*(1+Inputs!$F$15)^(36-Inputs!$F$13)*Inputs!$F$16)</f>
        <v/>
      </c>
    </row>
    <row r="59">
      <c r="A59" s="2" t="inlineStr">
        <is>
          <t>Optimistic</t>
        </is>
      </c>
      <c r="B59" s="2" t="inlineStr">
        <is>
          <t>Operating revenue</t>
        </is>
      </c>
      <c r="C59" s="8">
        <f>SUM(C54,C56,C57,C58)</f>
        <v/>
      </c>
      <c r="D59" s="8">
        <f>SUM(D54,D56,D57,D58)</f>
        <v/>
      </c>
      <c r="E59" s="8">
        <f>SUM(E54,E56,E57,E58)</f>
        <v/>
      </c>
      <c r="F59" s="8">
        <f>SUM(F54,F56,F57,F58)</f>
        <v/>
      </c>
      <c r="G59" s="8">
        <f>SUM(G54,G56,G57,G58)</f>
        <v/>
      </c>
      <c r="H59" s="8">
        <f>SUM(H54,H56,H57,H58)</f>
        <v/>
      </c>
      <c r="I59" s="8">
        <f>SUM(I54,I56,I57,I58)</f>
        <v/>
      </c>
      <c r="J59" s="8">
        <f>SUM(J54,J56,J57,J58)</f>
        <v/>
      </c>
      <c r="K59" s="8">
        <f>SUM(K54,K56,K57,K58)</f>
        <v/>
      </c>
      <c r="L59" s="8">
        <f>SUM(L54,L56,L57,L58)</f>
        <v/>
      </c>
      <c r="M59" s="8">
        <f>SUM(M54,M56,M57,M58)</f>
        <v/>
      </c>
      <c r="N59" s="8">
        <f>SUM(N54,N56,N57,N58)</f>
        <v/>
      </c>
      <c r="O59" s="8">
        <f>SUM(O54,O56,O57,O58)</f>
        <v/>
      </c>
      <c r="P59" s="8">
        <f>SUM(P54,P56,P57,P58)</f>
        <v/>
      </c>
      <c r="Q59" s="8">
        <f>SUM(Q54,Q56,Q57,Q58)</f>
        <v/>
      </c>
      <c r="R59" s="8">
        <f>SUM(R54,R56,R57,R58)</f>
        <v/>
      </c>
      <c r="S59" s="8">
        <f>SUM(S54,S56,S57,S58)</f>
        <v/>
      </c>
      <c r="T59" s="8">
        <f>SUM(T54,T56,T57,T58)</f>
        <v/>
      </c>
      <c r="U59" s="8">
        <f>SUM(U54,U56,U57,U58)</f>
        <v/>
      </c>
      <c r="V59" s="8">
        <f>SUM(V54,V56,V57,V58)</f>
        <v/>
      </c>
      <c r="W59" s="8">
        <f>SUM(W54,W56,W57,W58)</f>
        <v/>
      </c>
      <c r="X59" s="8">
        <f>SUM(X54,X56,X57,X58)</f>
        <v/>
      </c>
      <c r="Y59" s="8">
        <f>SUM(Y54,Y56,Y57,Y58)</f>
        <v/>
      </c>
      <c r="Z59" s="8">
        <f>SUM(Z54,Z56,Z57,Z58)</f>
        <v/>
      </c>
      <c r="AA59" s="8">
        <f>SUM(AA54,AA56,AA57,AA58)</f>
        <v/>
      </c>
      <c r="AB59" s="8">
        <f>SUM(AB54,AB56,AB57,AB58)</f>
        <v/>
      </c>
      <c r="AC59" s="8">
        <f>SUM(AC54,AC56,AC57,AC58)</f>
        <v/>
      </c>
      <c r="AD59" s="8">
        <f>SUM(AD54,AD56,AD57,AD58)</f>
        <v/>
      </c>
      <c r="AE59" s="8">
        <f>SUM(AE54,AE56,AE57,AE58)</f>
        <v/>
      </c>
      <c r="AF59" s="8">
        <f>SUM(AF54,AF56,AF57,AF58)</f>
        <v/>
      </c>
      <c r="AG59" s="8">
        <f>SUM(AG54,AG56,AG57,AG58)</f>
        <v/>
      </c>
      <c r="AH59" s="8">
        <f>SUM(AH54,AH56,AH57,AH58)</f>
        <v/>
      </c>
      <c r="AI59" s="8">
        <f>SUM(AI54,AI56,AI57,AI58)</f>
        <v/>
      </c>
      <c r="AJ59" s="8">
        <f>SUM(AJ54,AJ56,AJ57,AJ58)</f>
        <v/>
      </c>
      <c r="AK59" s="8">
        <f>SUM(AK54,AK56,AK57,AK58)</f>
        <v/>
      </c>
      <c r="AL59" s="8">
        <f>SUM(AL54,AL56,AL57,AL58)</f>
        <v/>
      </c>
    </row>
    <row r="60">
      <c r="A60" s="2" t="inlineStr">
        <is>
          <t>Optimistic</t>
        </is>
      </c>
      <c r="B60" s="2" t="inlineStr">
        <is>
          <t>Funding inflow</t>
        </is>
      </c>
      <c r="C60" s="8">
        <f>IF(AND(Inputs!$F$17&gt;0,1=Inputs!$F$17),Inputs!$F$18,0)</f>
        <v/>
      </c>
      <c r="D60" s="8">
        <f>IF(AND(Inputs!$F$17&gt;0,2=Inputs!$F$17),Inputs!$F$18,0)</f>
        <v/>
      </c>
      <c r="E60" s="8">
        <f>IF(AND(Inputs!$F$17&gt;0,3=Inputs!$F$17),Inputs!$F$18,0)</f>
        <v/>
      </c>
      <c r="F60" s="8">
        <f>IF(AND(Inputs!$F$17&gt;0,4=Inputs!$F$17),Inputs!$F$18,0)</f>
        <v/>
      </c>
      <c r="G60" s="8">
        <f>IF(AND(Inputs!$F$17&gt;0,5=Inputs!$F$17),Inputs!$F$18,0)</f>
        <v/>
      </c>
      <c r="H60" s="8">
        <f>IF(AND(Inputs!$F$17&gt;0,6=Inputs!$F$17),Inputs!$F$18,0)</f>
        <v/>
      </c>
      <c r="I60" s="8">
        <f>IF(AND(Inputs!$F$17&gt;0,7=Inputs!$F$17),Inputs!$F$18,0)</f>
        <v/>
      </c>
      <c r="J60" s="8">
        <f>IF(AND(Inputs!$F$17&gt;0,8=Inputs!$F$17),Inputs!$F$18,0)</f>
        <v/>
      </c>
      <c r="K60" s="8">
        <f>IF(AND(Inputs!$F$17&gt;0,9=Inputs!$F$17),Inputs!$F$18,0)</f>
        <v/>
      </c>
      <c r="L60" s="8">
        <f>IF(AND(Inputs!$F$17&gt;0,10=Inputs!$F$17),Inputs!$F$18,0)</f>
        <v/>
      </c>
      <c r="M60" s="8">
        <f>IF(AND(Inputs!$F$17&gt;0,11=Inputs!$F$17),Inputs!$F$18,0)</f>
        <v/>
      </c>
      <c r="N60" s="8">
        <f>IF(AND(Inputs!$F$17&gt;0,12=Inputs!$F$17),Inputs!$F$18,0)</f>
        <v/>
      </c>
      <c r="O60" s="8">
        <f>IF(AND(Inputs!$F$17&gt;0,13=Inputs!$F$17),Inputs!$F$18,0)</f>
        <v/>
      </c>
      <c r="P60" s="8">
        <f>IF(AND(Inputs!$F$17&gt;0,14=Inputs!$F$17),Inputs!$F$18,0)</f>
        <v/>
      </c>
      <c r="Q60" s="8">
        <f>IF(AND(Inputs!$F$17&gt;0,15=Inputs!$F$17),Inputs!$F$18,0)</f>
        <v/>
      </c>
      <c r="R60" s="8">
        <f>IF(AND(Inputs!$F$17&gt;0,16=Inputs!$F$17),Inputs!$F$18,0)</f>
        <v/>
      </c>
      <c r="S60" s="8">
        <f>IF(AND(Inputs!$F$17&gt;0,17=Inputs!$F$17),Inputs!$F$18,0)</f>
        <v/>
      </c>
      <c r="T60" s="8">
        <f>IF(AND(Inputs!$F$17&gt;0,18=Inputs!$F$17),Inputs!$F$18,0)</f>
        <v/>
      </c>
      <c r="U60" s="8">
        <f>IF(AND(Inputs!$F$17&gt;0,19=Inputs!$F$17),Inputs!$F$18,0)</f>
        <v/>
      </c>
      <c r="V60" s="8">
        <f>IF(AND(Inputs!$F$17&gt;0,20=Inputs!$F$17),Inputs!$F$18,0)</f>
        <v/>
      </c>
      <c r="W60" s="8">
        <f>IF(AND(Inputs!$F$17&gt;0,21=Inputs!$F$17),Inputs!$F$18,0)</f>
        <v/>
      </c>
      <c r="X60" s="8">
        <f>IF(AND(Inputs!$F$17&gt;0,22=Inputs!$F$17),Inputs!$F$18,0)</f>
        <v/>
      </c>
      <c r="Y60" s="8">
        <f>IF(AND(Inputs!$F$17&gt;0,23=Inputs!$F$17),Inputs!$F$18,0)</f>
        <v/>
      </c>
      <c r="Z60" s="8">
        <f>IF(AND(Inputs!$F$17&gt;0,24=Inputs!$F$17),Inputs!$F$18,0)</f>
        <v/>
      </c>
      <c r="AA60" s="8">
        <f>IF(AND(Inputs!$F$17&gt;0,25=Inputs!$F$17),Inputs!$F$18,0)</f>
        <v/>
      </c>
      <c r="AB60" s="8">
        <f>IF(AND(Inputs!$F$17&gt;0,26=Inputs!$F$17),Inputs!$F$18,0)</f>
        <v/>
      </c>
      <c r="AC60" s="8">
        <f>IF(AND(Inputs!$F$17&gt;0,27=Inputs!$F$17),Inputs!$F$18,0)</f>
        <v/>
      </c>
      <c r="AD60" s="8">
        <f>IF(AND(Inputs!$F$17&gt;0,28=Inputs!$F$17),Inputs!$F$18,0)</f>
        <v/>
      </c>
      <c r="AE60" s="8">
        <f>IF(AND(Inputs!$F$17&gt;0,29=Inputs!$F$17),Inputs!$F$18,0)</f>
        <v/>
      </c>
      <c r="AF60" s="8">
        <f>IF(AND(Inputs!$F$17&gt;0,30=Inputs!$F$17),Inputs!$F$18,0)</f>
        <v/>
      </c>
      <c r="AG60" s="8">
        <f>IF(AND(Inputs!$F$17&gt;0,31=Inputs!$F$17),Inputs!$F$18,0)</f>
        <v/>
      </c>
      <c r="AH60" s="8">
        <f>IF(AND(Inputs!$F$17&gt;0,32=Inputs!$F$17),Inputs!$F$18,0)</f>
        <v/>
      </c>
      <c r="AI60" s="8">
        <f>IF(AND(Inputs!$F$17&gt;0,33=Inputs!$F$17),Inputs!$F$18,0)</f>
        <v/>
      </c>
      <c r="AJ60" s="8">
        <f>IF(AND(Inputs!$F$17&gt;0,34=Inputs!$F$17),Inputs!$F$18,0)</f>
        <v/>
      </c>
      <c r="AK60" s="8">
        <f>IF(AND(Inputs!$F$17&gt;0,35=Inputs!$F$17),Inputs!$F$18,0)</f>
        <v/>
      </c>
      <c r="AL60" s="8">
        <f>IF(AND(Inputs!$F$17&gt;0,36=Inputs!$F$17),Inputs!$F$18,0)</f>
        <v/>
      </c>
    </row>
    <row r="61">
      <c r="A61" s="2" t="inlineStr">
        <is>
          <t>Optimistic</t>
        </is>
      </c>
      <c r="B61" s="2" t="inlineStr">
        <is>
          <t>Payment + variable COGS</t>
        </is>
      </c>
      <c r="C61" s="8">
        <f>C59*Inputs!$F$26+(C54+C56+C58)*Inputs!$F$27+C52*Inputs!$F$30</f>
        <v/>
      </c>
      <c r="D61" s="8">
        <f>D59*Inputs!$F$26+(D54+D56+D58)*Inputs!$F$27+D52*Inputs!$F$30</f>
        <v/>
      </c>
      <c r="E61" s="8">
        <f>E59*Inputs!$F$26+(E54+E56+E58)*Inputs!$F$27+E52*Inputs!$F$30</f>
        <v/>
      </c>
      <c r="F61" s="8">
        <f>F59*Inputs!$F$26+(F54+F56+F58)*Inputs!$F$27+F52*Inputs!$F$30</f>
        <v/>
      </c>
      <c r="G61" s="8">
        <f>G59*Inputs!$F$26+(G54+G56+G58)*Inputs!$F$27+G52*Inputs!$F$30</f>
        <v/>
      </c>
      <c r="H61" s="8">
        <f>H59*Inputs!$F$26+(H54+H56+H58)*Inputs!$F$27+H52*Inputs!$F$30</f>
        <v/>
      </c>
      <c r="I61" s="8">
        <f>I59*Inputs!$F$26+(I54+I56+I58)*Inputs!$F$27+I52*Inputs!$F$30</f>
        <v/>
      </c>
      <c r="J61" s="8">
        <f>J59*Inputs!$F$26+(J54+J56+J58)*Inputs!$F$27+J52*Inputs!$F$30</f>
        <v/>
      </c>
      <c r="K61" s="8">
        <f>K59*Inputs!$F$26+(K54+K56+K58)*Inputs!$F$27+K52*Inputs!$F$30</f>
        <v/>
      </c>
      <c r="L61" s="8">
        <f>L59*Inputs!$F$26+(L54+L56+L58)*Inputs!$F$27+L52*Inputs!$F$30</f>
        <v/>
      </c>
      <c r="M61" s="8">
        <f>M59*Inputs!$F$26+(M54+M56+M58)*Inputs!$F$27+M52*Inputs!$F$30</f>
        <v/>
      </c>
      <c r="N61" s="8">
        <f>N59*Inputs!$F$26+(N54+N56+N58)*Inputs!$F$27+N52*Inputs!$F$30</f>
        <v/>
      </c>
      <c r="O61" s="8">
        <f>O59*Inputs!$F$26+(O54+O56+O58)*Inputs!$F$27+O52*Inputs!$F$30</f>
        <v/>
      </c>
      <c r="P61" s="8">
        <f>P59*Inputs!$F$26+(P54+P56+P58)*Inputs!$F$27+P52*Inputs!$F$30</f>
        <v/>
      </c>
      <c r="Q61" s="8">
        <f>Q59*Inputs!$F$26+(Q54+Q56+Q58)*Inputs!$F$27+Q52*Inputs!$F$30</f>
        <v/>
      </c>
      <c r="R61" s="8">
        <f>R59*Inputs!$F$26+(R54+R56+R58)*Inputs!$F$27+R52*Inputs!$F$30</f>
        <v/>
      </c>
      <c r="S61" s="8">
        <f>S59*Inputs!$F$26+(S54+S56+S58)*Inputs!$F$27+S52*Inputs!$F$30</f>
        <v/>
      </c>
      <c r="T61" s="8">
        <f>T59*Inputs!$F$26+(T54+T56+T58)*Inputs!$F$27+T52*Inputs!$F$30</f>
        <v/>
      </c>
      <c r="U61" s="8">
        <f>U59*Inputs!$F$26+(U54+U56+U58)*Inputs!$F$27+U52*Inputs!$F$30</f>
        <v/>
      </c>
      <c r="V61" s="8">
        <f>V59*Inputs!$F$26+(V54+V56+V58)*Inputs!$F$27+V52*Inputs!$F$30</f>
        <v/>
      </c>
      <c r="W61" s="8">
        <f>W59*Inputs!$F$26+(W54+W56+W58)*Inputs!$F$27+W52*Inputs!$F$30</f>
        <v/>
      </c>
      <c r="X61" s="8">
        <f>X59*Inputs!$F$26+(X54+X56+X58)*Inputs!$F$27+X52*Inputs!$F$30</f>
        <v/>
      </c>
      <c r="Y61" s="8">
        <f>Y59*Inputs!$F$26+(Y54+Y56+Y58)*Inputs!$F$27+Y52*Inputs!$F$30</f>
        <v/>
      </c>
      <c r="Z61" s="8">
        <f>Z59*Inputs!$F$26+(Z54+Z56+Z58)*Inputs!$F$27+Z52*Inputs!$F$30</f>
        <v/>
      </c>
      <c r="AA61" s="8">
        <f>AA59*Inputs!$F$26+(AA54+AA56+AA58)*Inputs!$F$27+AA52*Inputs!$F$30</f>
        <v/>
      </c>
      <c r="AB61" s="8">
        <f>AB59*Inputs!$F$26+(AB54+AB56+AB58)*Inputs!$F$27+AB52*Inputs!$F$30</f>
        <v/>
      </c>
      <c r="AC61" s="8">
        <f>AC59*Inputs!$F$26+(AC54+AC56+AC58)*Inputs!$F$27+AC52*Inputs!$F$30</f>
        <v/>
      </c>
      <c r="AD61" s="8">
        <f>AD59*Inputs!$F$26+(AD54+AD56+AD58)*Inputs!$F$27+AD52*Inputs!$F$30</f>
        <v/>
      </c>
      <c r="AE61" s="8">
        <f>AE59*Inputs!$F$26+(AE54+AE56+AE58)*Inputs!$F$27+AE52*Inputs!$F$30</f>
        <v/>
      </c>
      <c r="AF61" s="8">
        <f>AF59*Inputs!$F$26+(AF54+AF56+AF58)*Inputs!$F$27+AF52*Inputs!$F$30</f>
        <v/>
      </c>
      <c r="AG61" s="8">
        <f>AG59*Inputs!$F$26+(AG54+AG56+AG58)*Inputs!$F$27+AG52*Inputs!$F$30</f>
        <v/>
      </c>
      <c r="AH61" s="8">
        <f>AH59*Inputs!$F$26+(AH54+AH56+AH58)*Inputs!$F$27+AH52*Inputs!$F$30</f>
        <v/>
      </c>
      <c r="AI61" s="8">
        <f>AI59*Inputs!$F$26+(AI54+AI56+AI58)*Inputs!$F$27+AI52*Inputs!$F$30</f>
        <v/>
      </c>
      <c r="AJ61" s="8">
        <f>AJ59*Inputs!$F$26+(AJ54+AJ56+AJ58)*Inputs!$F$27+AJ52*Inputs!$F$30</f>
        <v/>
      </c>
      <c r="AK61" s="8">
        <f>AK59*Inputs!$F$26+(AK54+AK56+AK58)*Inputs!$F$27+AK52*Inputs!$F$30</f>
        <v/>
      </c>
      <c r="AL61" s="8">
        <f>AL59*Inputs!$F$26+(AL54+AL56+AL58)*Inputs!$F$27+AL52*Inputs!$F$30</f>
        <v/>
      </c>
    </row>
    <row r="62">
      <c r="A62" s="2" t="inlineStr">
        <is>
          <t>Optimistic</t>
        </is>
      </c>
      <c r="B62" s="2" t="inlineStr">
        <is>
          <t>Partner event fees</t>
        </is>
      </c>
      <c r="C62" s="8">
        <f>C55*Inputs!$F$10</f>
        <v/>
      </c>
      <c r="D62" s="8">
        <f>D55*Inputs!$F$10</f>
        <v/>
      </c>
      <c r="E62" s="8">
        <f>E55*Inputs!$F$10</f>
        <v/>
      </c>
      <c r="F62" s="8">
        <f>F55*Inputs!$F$10</f>
        <v/>
      </c>
      <c r="G62" s="8">
        <f>G55*Inputs!$F$10</f>
        <v/>
      </c>
      <c r="H62" s="8">
        <f>H55*Inputs!$F$10</f>
        <v/>
      </c>
      <c r="I62" s="8">
        <f>I55*Inputs!$F$10</f>
        <v/>
      </c>
      <c r="J62" s="8">
        <f>J55*Inputs!$F$10</f>
        <v/>
      </c>
      <c r="K62" s="8">
        <f>K55*Inputs!$F$10</f>
        <v/>
      </c>
      <c r="L62" s="8">
        <f>L55*Inputs!$F$10</f>
        <v/>
      </c>
      <c r="M62" s="8">
        <f>M55*Inputs!$F$10</f>
        <v/>
      </c>
      <c r="N62" s="8">
        <f>N55*Inputs!$F$10</f>
        <v/>
      </c>
      <c r="O62" s="8">
        <f>O55*Inputs!$F$10</f>
        <v/>
      </c>
      <c r="P62" s="8">
        <f>P55*Inputs!$F$10</f>
        <v/>
      </c>
      <c r="Q62" s="8">
        <f>Q55*Inputs!$F$10</f>
        <v/>
      </c>
      <c r="R62" s="8">
        <f>R55*Inputs!$F$10</f>
        <v/>
      </c>
      <c r="S62" s="8">
        <f>S55*Inputs!$F$10</f>
        <v/>
      </c>
      <c r="T62" s="8">
        <f>T55*Inputs!$F$10</f>
        <v/>
      </c>
      <c r="U62" s="8">
        <f>U55*Inputs!$F$10</f>
        <v/>
      </c>
      <c r="V62" s="8">
        <f>V55*Inputs!$F$10</f>
        <v/>
      </c>
      <c r="W62" s="8">
        <f>W55*Inputs!$F$10</f>
        <v/>
      </c>
      <c r="X62" s="8">
        <f>X55*Inputs!$F$10</f>
        <v/>
      </c>
      <c r="Y62" s="8">
        <f>Y55*Inputs!$F$10</f>
        <v/>
      </c>
      <c r="Z62" s="8">
        <f>Z55*Inputs!$F$10</f>
        <v/>
      </c>
      <c r="AA62" s="8">
        <f>AA55*Inputs!$F$10</f>
        <v/>
      </c>
      <c r="AB62" s="8">
        <f>AB55*Inputs!$F$10</f>
        <v/>
      </c>
      <c r="AC62" s="8">
        <f>AC55*Inputs!$F$10</f>
        <v/>
      </c>
      <c r="AD62" s="8">
        <f>AD55*Inputs!$F$10</f>
        <v/>
      </c>
      <c r="AE62" s="8">
        <f>AE55*Inputs!$F$10</f>
        <v/>
      </c>
      <c r="AF62" s="8">
        <f>AF55*Inputs!$F$10</f>
        <v/>
      </c>
      <c r="AG62" s="8">
        <f>AG55*Inputs!$F$10</f>
        <v/>
      </c>
      <c r="AH62" s="8">
        <f>AH55*Inputs!$F$10</f>
        <v/>
      </c>
      <c r="AI62" s="8">
        <f>AI55*Inputs!$F$10</f>
        <v/>
      </c>
      <c r="AJ62" s="8">
        <f>AJ55*Inputs!$F$10</f>
        <v/>
      </c>
      <c r="AK62" s="8">
        <f>AK55*Inputs!$F$10</f>
        <v/>
      </c>
      <c r="AL62" s="8">
        <f>AL55*Inputs!$F$10</f>
        <v/>
      </c>
    </row>
    <row r="63">
      <c r="A63" s="2" t="inlineStr">
        <is>
          <t>Optimistic</t>
        </is>
      </c>
      <c r="B63" s="2" t="inlineStr">
        <is>
          <t>Mission reserve (10%)</t>
        </is>
      </c>
      <c r="C63" s="8">
        <f>C59*Inputs!$F$29</f>
        <v/>
      </c>
      <c r="D63" s="8">
        <f>D59*Inputs!$F$29</f>
        <v/>
      </c>
      <c r="E63" s="8">
        <f>E59*Inputs!$F$29</f>
        <v/>
      </c>
      <c r="F63" s="8">
        <f>F59*Inputs!$F$29</f>
        <v/>
      </c>
      <c r="G63" s="8">
        <f>G59*Inputs!$F$29</f>
        <v/>
      </c>
      <c r="H63" s="8">
        <f>H59*Inputs!$F$29</f>
        <v/>
      </c>
      <c r="I63" s="8">
        <f>I59*Inputs!$F$29</f>
        <v/>
      </c>
      <c r="J63" s="8">
        <f>J59*Inputs!$F$29</f>
        <v/>
      </c>
      <c r="K63" s="8">
        <f>K59*Inputs!$F$29</f>
        <v/>
      </c>
      <c r="L63" s="8">
        <f>L59*Inputs!$F$29</f>
        <v/>
      </c>
      <c r="M63" s="8">
        <f>M59*Inputs!$F$29</f>
        <v/>
      </c>
      <c r="N63" s="8">
        <f>N59*Inputs!$F$29</f>
        <v/>
      </c>
      <c r="O63" s="8">
        <f>O59*Inputs!$F$29</f>
        <v/>
      </c>
      <c r="P63" s="8">
        <f>P59*Inputs!$F$29</f>
        <v/>
      </c>
      <c r="Q63" s="8">
        <f>Q59*Inputs!$F$29</f>
        <v/>
      </c>
      <c r="R63" s="8">
        <f>R59*Inputs!$F$29</f>
        <v/>
      </c>
      <c r="S63" s="8">
        <f>S59*Inputs!$F$29</f>
        <v/>
      </c>
      <c r="T63" s="8">
        <f>T59*Inputs!$F$29</f>
        <v/>
      </c>
      <c r="U63" s="8">
        <f>U59*Inputs!$F$29</f>
        <v/>
      </c>
      <c r="V63" s="8">
        <f>V59*Inputs!$F$29</f>
        <v/>
      </c>
      <c r="W63" s="8">
        <f>W59*Inputs!$F$29</f>
        <v/>
      </c>
      <c r="X63" s="8">
        <f>X59*Inputs!$F$29</f>
        <v/>
      </c>
      <c r="Y63" s="8">
        <f>Y59*Inputs!$F$29</f>
        <v/>
      </c>
      <c r="Z63" s="8">
        <f>Z59*Inputs!$F$29</f>
        <v/>
      </c>
      <c r="AA63" s="8">
        <f>AA59*Inputs!$F$29</f>
        <v/>
      </c>
      <c r="AB63" s="8">
        <f>AB59*Inputs!$F$29</f>
        <v/>
      </c>
      <c r="AC63" s="8">
        <f>AC59*Inputs!$F$29</f>
        <v/>
      </c>
      <c r="AD63" s="8">
        <f>AD59*Inputs!$F$29</f>
        <v/>
      </c>
      <c r="AE63" s="8">
        <f>AE59*Inputs!$F$29</f>
        <v/>
      </c>
      <c r="AF63" s="8">
        <f>AF59*Inputs!$F$29</f>
        <v/>
      </c>
      <c r="AG63" s="8">
        <f>AG59*Inputs!$F$29</f>
        <v/>
      </c>
      <c r="AH63" s="8">
        <f>AH59*Inputs!$F$29</f>
        <v/>
      </c>
      <c r="AI63" s="8">
        <f>AI59*Inputs!$F$29</f>
        <v/>
      </c>
      <c r="AJ63" s="8">
        <f>AJ59*Inputs!$F$29</f>
        <v/>
      </c>
      <c r="AK63" s="8">
        <f>AK59*Inputs!$F$29</f>
        <v/>
      </c>
      <c r="AL63" s="8">
        <f>AL59*Inputs!$F$29</f>
        <v/>
      </c>
    </row>
    <row r="64">
      <c r="A64" s="2" t="inlineStr">
        <is>
          <t>Optimistic</t>
        </is>
      </c>
      <c r="B64" s="2" t="inlineStr">
        <is>
          <t>Fixed infra</t>
        </is>
      </c>
      <c r="C64" s="8">
        <f>Inputs!$F$19</f>
        <v/>
      </c>
      <c r="D64" s="8">
        <f>Inputs!$F$19</f>
        <v/>
      </c>
      <c r="E64" s="8">
        <f>Inputs!$F$19</f>
        <v/>
      </c>
      <c r="F64" s="8">
        <f>Inputs!$F$19</f>
        <v/>
      </c>
      <c r="G64" s="8">
        <f>Inputs!$F$19</f>
        <v/>
      </c>
      <c r="H64" s="8">
        <f>Inputs!$F$19</f>
        <v/>
      </c>
      <c r="I64" s="8">
        <f>Inputs!$F$19</f>
        <v/>
      </c>
      <c r="J64" s="8">
        <f>Inputs!$F$19</f>
        <v/>
      </c>
      <c r="K64" s="8">
        <f>Inputs!$F$19</f>
        <v/>
      </c>
      <c r="L64" s="8">
        <f>Inputs!$F$19</f>
        <v/>
      </c>
      <c r="M64" s="8">
        <f>Inputs!$F$19</f>
        <v/>
      </c>
      <c r="N64" s="8">
        <f>Inputs!$F$19</f>
        <v/>
      </c>
      <c r="O64" s="8">
        <f>Inputs!$F$19</f>
        <v/>
      </c>
      <c r="P64" s="8">
        <f>Inputs!$F$19</f>
        <v/>
      </c>
      <c r="Q64" s="8">
        <f>Inputs!$F$19</f>
        <v/>
      </c>
      <c r="R64" s="8">
        <f>Inputs!$F$19</f>
        <v/>
      </c>
      <c r="S64" s="8">
        <f>Inputs!$F$19</f>
        <v/>
      </c>
      <c r="T64" s="8">
        <f>Inputs!$F$19</f>
        <v/>
      </c>
      <c r="U64" s="8">
        <f>Inputs!$F$19</f>
        <v/>
      </c>
      <c r="V64" s="8">
        <f>Inputs!$F$19</f>
        <v/>
      </c>
      <c r="W64" s="8">
        <f>Inputs!$F$19</f>
        <v/>
      </c>
      <c r="X64" s="8">
        <f>Inputs!$F$19</f>
        <v/>
      </c>
      <c r="Y64" s="8">
        <f>Inputs!$F$19</f>
        <v/>
      </c>
      <c r="Z64" s="8">
        <f>Inputs!$F$19</f>
        <v/>
      </c>
      <c r="AA64" s="8">
        <f>Inputs!$F$19</f>
        <v/>
      </c>
      <c r="AB64" s="8">
        <f>Inputs!$F$19</f>
        <v/>
      </c>
      <c r="AC64" s="8">
        <f>Inputs!$F$19</f>
        <v/>
      </c>
      <c r="AD64" s="8">
        <f>Inputs!$F$19</f>
        <v/>
      </c>
      <c r="AE64" s="8">
        <f>Inputs!$F$19</f>
        <v/>
      </c>
      <c r="AF64" s="8">
        <f>Inputs!$F$19</f>
        <v/>
      </c>
      <c r="AG64" s="8">
        <f>Inputs!$F$19</f>
        <v/>
      </c>
      <c r="AH64" s="8">
        <f>Inputs!$F$19</f>
        <v/>
      </c>
      <c r="AI64" s="8">
        <f>Inputs!$F$19</f>
        <v/>
      </c>
      <c r="AJ64" s="8">
        <f>Inputs!$F$19</f>
        <v/>
      </c>
      <c r="AK64" s="8">
        <f>Inputs!$F$19</f>
        <v/>
      </c>
      <c r="AL64" s="8">
        <f>Inputs!$F$19</f>
        <v/>
      </c>
    </row>
    <row r="65">
      <c r="A65" s="2" t="inlineStr">
        <is>
          <t>Optimistic</t>
        </is>
      </c>
      <c r="B65" s="2" t="inlineStr">
        <is>
          <t>AI/model/tooling</t>
        </is>
      </c>
      <c r="C65" s="8">
        <f>Inputs!$F$20</f>
        <v/>
      </c>
      <c r="D65" s="8">
        <f>Inputs!$F$20</f>
        <v/>
      </c>
      <c r="E65" s="8">
        <f>Inputs!$F$20</f>
        <v/>
      </c>
      <c r="F65" s="8">
        <f>Inputs!$F$20</f>
        <v/>
      </c>
      <c r="G65" s="8">
        <f>Inputs!$F$20</f>
        <v/>
      </c>
      <c r="H65" s="8">
        <f>Inputs!$F$20</f>
        <v/>
      </c>
      <c r="I65" s="8">
        <f>Inputs!$F$20</f>
        <v/>
      </c>
      <c r="J65" s="8">
        <f>Inputs!$F$20</f>
        <v/>
      </c>
      <c r="K65" s="8">
        <f>Inputs!$F$20</f>
        <v/>
      </c>
      <c r="L65" s="8">
        <f>Inputs!$F$20</f>
        <v/>
      </c>
      <c r="M65" s="8">
        <f>Inputs!$F$20</f>
        <v/>
      </c>
      <c r="N65" s="8">
        <f>Inputs!$F$20</f>
        <v/>
      </c>
      <c r="O65" s="8">
        <f>Inputs!$F$20</f>
        <v/>
      </c>
      <c r="P65" s="8">
        <f>Inputs!$F$20</f>
        <v/>
      </c>
      <c r="Q65" s="8">
        <f>Inputs!$F$20</f>
        <v/>
      </c>
      <c r="R65" s="8">
        <f>Inputs!$F$20</f>
        <v/>
      </c>
      <c r="S65" s="8">
        <f>Inputs!$F$20</f>
        <v/>
      </c>
      <c r="T65" s="8">
        <f>Inputs!$F$20</f>
        <v/>
      </c>
      <c r="U65" s="8">
        <f>Inputs!$F$20</f>
        <v/>
      </c>
      <c r="V65" s="8">
        <f>Inputs!$F$20</f>
        <v/>
      </c>
      <c r="W65" s="8">
        <f>Inputs!$F$20</f>
        <v/>
      </c>
      <c r="X65" s="8">
        <f>Inputs!$F$20</f>
        <v/>
      </c>
      <c r="Y65" s="8">
        <f>Inputs!$F$20</f>
        <v/>
      </c>
      <c r="Z65" s="8">
        <f>Inputs!$F$20</f>
        <v/>
      </c>
      <c r="AA65" s="8">
        <f>Inputs!$F$20</f>
        <v/>
      </c>
      <c r="AB65" s="8">
        <f>Inputs!$F$20</f>
        <v/>
      </c>
      <c r="AC65" s="8">
        <f>Inputs!$F$20</f>
        <v/>
      </c>
      <c r="AD65" s="8">
        <f>Inputs!$F$20</f>
        <v/>
      </c>
      <c r="AE65" s="8">
        <f>Inputs!$F$20</f>
        <v/>
      </c>
      <c r="AF65" s="8">
        <f>Inputs!$F$20</f>
        <v/>
      </c>
      <c r="AG65" s="8">
        <f>Inputs!$F$20</f>
        <v/>
      </c>
      <c r="AH65" s="8">
        <f>Inputs!$F$20</f>
        <v/>
      </c>
      <c r="AI65" s="8">
        <f>Inputs!$F$20</f>
        <v/>
      </c>
      <c r="AJ65" s="8">
        <f>Inputs!$F$20</f>
        <v/>
      </c>
      <c r="AK65" s="8">
        <f>Inputs!$F$20</f>
        <v/>
      </c>
      <c r="AL65" s="8">
        <f>Inputs!$F$20</f>
        <v/>
      </c>
    </row>
    <row r="66">
      <c r="A66" s="2" t="inlineStr">
        <is>
          <t>Optimistic</t>
        </is>
      </c>
      <c r="B66" s="2" t="inlineStr">
        <is>
          <t>Marketing/community spend</t>
        </is>
      </c>
      <c r="C66" s="8">
        <f>Inputs!$F$21</f>
        <v/>
      </c>
      <c r="D66" s="8">
        <f>Inputs!$F$21</f>
        <v/>
      </c>
      <c r="E66" s="8">
        <f>Inputs!$F$21</f>
        <v/>
      </c>
      <c r="F66" s="8">
        <f>Inputs!$F$21</f>
        <v/>
      </c>
      <c r="G66" s="8">
        <f>Inputs!$F$21</f>
        <v/>
      </c>
      <c r="H66" s="8">
        <f>Inputs!$F$21</f>
        <v/>
      </c>
      <c r="I66" s="8">
        <f>Inputs!$F$21</f>
        <v/>
      </c>
      <c r="J66" s="8">
        <f>Inputs!$F$21</f>
        <v/>
      </c>
      <c r="K66" s="8">
        <f>Inputs!$F$21</f>
        <v/>
      </c>
      <c r="L66" s="8">
        <f>Inputs!$F$21</f>
        <v/>
      </c>
      <c r="M66" s="8">
        <f>Inputs!$F$21</f>
        <v/>
      </c>
      <c r="N66" s="8">
        <f>Inputs!$F$21</f>
        <v/>
      </c>
      <c r="O66" s="8">
        <f>Inputs!$F$21</f>
        <v/>
      </c>
      <c r="P66" s="8">
        <f>Inputs!$F$21</f>
        <v/>
      </c>
      <c r="Q66" s="8">
        <f>Inputs!$F$21</f>
        <v/>
      </c>
      <c r="R66" s="8">
        <f>Inputs!$F$21</f>
        <v/>
      </c>
      <c r="S66" s="8">
        <f>Inputs!$F$21</f>
        <v/>
      </c>
      <c r="T66" s="8">
        <f>Inputs!$F$21</f>
        <v/>
      </c>
      <c r="U66" s="8">
        <f>Inputs!$F$21</f>
        <v/>
      </c>
      <c r="V66" s="8">
        <f>Inputs!$F$21</f>
        <v/>
      </c>
      <c r="W66" s="8">
        <f>Inputs!$F$21</f>
        <v/>
      </c>
      <c r="X66" s="8">
        <f>Inputs!$F$21</f>
        <v/>
      </c>
      <c r="Y66" s="8">
        <f>Inputs!$F$21</f>
        <v/>
      </c>
      <c r="Z66" s="8">
        <f>Inputs!$F$21</f>
        <v/>
      </c>
      <c r="AA66" s="8">
        <f>Inputs!$F$21</f>
        <v/>
      </c>
      <c r="AB66" s="8">
        <f>Inputs!$F$21</f>
        <v/>
      </c>
      <c r="AC66" s="8">
        <f>Inputs!$F$21</f>
        <v/>
      </c>
      <c r="AD66" s="8">
        <f>Inputs!$F$21</f>
        <v/>
      </c>
      <c r="AE66" s="8">
        <f>Inputs!$F$21</f>
        <v/>
      </c>
      <c r="AF66" s="8">
        <f>Inputs!$F$21</f>
        <v/>
      </c>
      <c r="AG66" s="8">
        <f>Inputs!$F$21</f>
        <v/>
      </c>
      <c r="AH66" s="8">
        <f>Inputs!$F$21</f>
        <v/>
      </c>
      <c r="AI66" s="8">
        <f>Inputs!$F$21</f>
        <v/>
      </c>
      <c r="AJ66" s="8">
        <f>Inputs!$F$21</f>
        <v/>
      </c>
      <c r="AK66" s="8">
        <f>Inputs!$F$21</f>
        <v/>
      </c>
      <c r="AL66" s="8">
        <f>Inputs!$F$21</f>
        <v/>
      </c>
    </row>
    <row r="67">
      <c r="A67" s="2" t="inlineStr">
        <is>
          <t>Optimistic</t>
        </is>
      </c>
      <c r="B67" s="2" t="inlineStr">
        <is>
          <t>Contractor/dev support</t>
        </is>
      </c>
      <c r="C67" s="8">
        <f>Inputs!$F$22</f>
        <v/>
      </c>
      <c r="D67" s="8">
        <f>Inputs!$F$22</f>
        <v/>
      </c>
      <c r="E67" s="8">
        <f>Inputs!$F$22</f>
        <v/>
      </c>
      <c r="F67" s="8">
        <f>Inputs!$F$22</f>
        <v/>
      </c>
      <c r="G67" s="8">
        <f>Inputs!$F$22</f>
        <v/>
      </c>
      <c r="H67" s="8">
        <f>Inputs!$F$22</f>
        <v/>
      </c>
      <c r="I67" s="8">
        <f>Inputs!$F$22</f>
        <v/>
      </c>
      <c r="J67" s="8">
        <f>Inputs!$F$22</f>
        <v/>
      </c>
      <c r="K67" s="8">
        <f>Inputs!$F$22</f>
        <v/>
      </c>
      <c r="L67" s="8">
        <f>Inputs!$F$22</f>
        <v/>
      </c>
      <c r="M67" s="8">
        <f>Inputs!$F$22</f>
        <v/>
      </c>
      <c r="N67" s="8">
        <f>Inputs!$F$22</f>
        <v/>
      </c>
      <c r="O67" s="8">
        <f>Inputs!$F$22</f>
        <v/>
      </c>
      <c r="P67" s="8">
        <f>Inputs!$F$22</f>
        <v/>
      </c>
      <c r="Q67" s="8">
        <f>Inputs!$F$22</f>
        <v/>
      </c>
      <c r="R67" s="8">
        <f>Inputs!$F$22</f>
        <v/>
      </c>
      <c r="S67" s="8">
        <f>Inputs!$F$22</f>
        <v/>
      </c>
      <c r="T67" s="8">
        <f>Inputs!$F$22</f>
        <v/>
      </c>
      <c r="U67" s="8">
        <f>Inputs!$F$22</f>
        <v/>
      </c>
      <c r="V67" s="8">
        <f>Inputs!$F$22</f>
        <v/>
      </c>
      <c r="W67" s="8">
        <f>Inputs!$F$22</f>
        <v/>
      </c>
      <c r="X67" s="8">
        <f>Inputs!$F$22</f>
        <v/>
      </c>
      <c r="Y67" s="8">
        <f>Inputs!$F$22</f>
        <v/>
      </c>
      <c r="Z67" s="8">
        <f>Inputs!$F$22</f>
        <v/>
      </c>
      <c r="AA67" s="8">
        <f>Inputs!$F$22</f>
        <v/>
      </c>
      <c r="AB67" s="8">
        <f>Inputs!$F$22</f>
        <v/>
      </c>
      <c r="AC67" s="8">
        <f>Inputs!$F$22</f>
        <v/>
      </c>
      <c r="AD67" s="8">
        <f>Inputs!$F$22</f>
        <v/>
      </c>
      <c r="AE67" s="8">
        <f>Inputs!$F$22</f>
        <v/>
      </c>
      <c r="AF67" s="8">
        <f>Inputs!$F$22</f>
        <v/>
      </c>
      <c r="AG67" s="8">
        <f>Inputs!$F$22</f>
        <v/>
      </c>
      <c r="AH67" s="8">
        <f>Inputs!$F$22</f>
        <v/>
      </c>
      <c r="AI67" s="8">
        <f>Inputs!$F$22</f>
        <v/>
      </c>
      <c r="AJ67" s="8">
        <f>Inputs!$F$22</f>
        <v/>
      </c>
      <c r="AK67" s="8">
        <f>Inputs!$F$22</f>
        <v/>
      </c>
      <c r="AL67" s="8">
        <f>Inputs!$F$22</f>
        <v/>
      </c>
    </row>
    <row r="68">
      <c r="A68" s="2" t="inlineStr">
        <is>
          <t>Optimistic</t>
        </is>
      </c>
      <c r="B68" s="2" t="inlineStr">
        <is>
          <t>Compliance/legal reserve</t>
        </is>
      </c>
      <c r="C68" s="8">
        <f>Inputs!$F$23</f>
        <v/>
      </c>
      <c r="D68" s="8">
        <f>Inputs!$F$23</f>
        <v/>
      </c>
      <c r="E68" s="8">
        <f>Inputs!$F$23</f>
        <v/>
      </c>
      <c r="F68" s="8">
        <f>Inputs!$F$23</f>
        <v/>
      </c>
      <c r="G68" s="8">
        <f>Inputs!$F$23</f>
        <v/>
      </c>
      <c r="H68" s="8">
        <f>Inputs!$F$23</f>
        <v/>
      </c>
      <c r="I68" s="8">
        <f>Inputs!$F$23</f>
        <v/>
      </c>
      <c r="J68" s="8">
        <f>Inputs!$F$23</f>
        <v/>
      </c>
      <c r="K68" s="8">
        <f>Inputs!$F$23</f>
        <v/>
      </c>
      <c r="L68" s="8">
        <f>Inputs!$F$23</f>
        <v/>
      </c>
      <c r="M68" s="8">
        <f>Inputs!$F$23</f>
        <v/>
      </c>
      <c r="N68" s="8">
        <f>Inputs!$F$23</f>
        <v/>
      </c>
      <c r="O68" s="8">
        <f>Inputs!$F$23</f>
        <v/>
      </c>
      <c r="P68" s="8">
        <f>Inputs!$F$23</f>
        <v/>
      </c>
      <c r="Q68" s="8">
        <f>Inputs!$F$23</f>
        <v/>
      </c>
      <c r="R68" s="8">
        <f>Inputs!$F$23</f>
        <v/>
      </c>
      <c r="S68" s="8">
        <f>Inputs!$F$23</f>
        <v/>
      </c>
      <c r="T68" s="8">
        <f>Inputs!$F$23</f>
        <v/>
      </c>
      <c r="U68" s="8">
        <f>Inputs!$F$23</f>
        <v/>
      </c>
      <c r="V68" s="8">
        <f>Inputs!$F$23</f>
        <v/>
      </c>
      <c r="W68" s="8">
        <f>Inputs!$F$23</f>
        <v/>
      </c>
      <c r="X68" s="8">
        <f>Inputs!$F$23</f>
        <v/>
      </c>
      <c r="Y68" s="8">
        <f>Inputs!$F$23</f>
        <v/>
      </c>
      <c r="Z68" s="8">
        <f>Inputs!$F$23</f>
        <v/>
      </c>
      <c r="AA68" s="8">
        <f>Inputs!$F$23</f>
        <v/>
      </c>
      <c r="AB68" s="8">
        <f>Inputs!$F$23</f>
        <v/>
      </c>
      <c r="AC68" s="8">
        <f>Inputs!$F$23</f>
        <v/>
      </c>
      <c r="AD68" s="8">
        <f>Inputs!$F$23</f>
        <v/>
      </c>
      <c r="AE68" s="8">
        <f>Inputs!$F$23</f>
        <v/>
      </c>
      <c r="AF68" s="8">
        <f>Inputs!$F$23</f>
        <v/>
      </c>
      <c r="AG68" s="8">
        <f>Inputs!$F$23</f>
        <v/>
      </c>
      <c r="AH68" s="8">
        <f>Inputs!$F$23</f>
        <v/>
      </c>
      <c r="AI68" s="8">
        <f>Inputs!$F$23</f>
        <v/>
      </c>
      <c r="AJ68" s="8">
        <f>Inputs!$F$23</f>
        <v/>
      </c>
      <c r="AK68" s="8">
        <f>Inputs!$F$23</f>
        <v/>
      </c>
      <c r="AL68" s="8">
        <f>Inputs!$F$23</f>
        <v/>
      </c>
    </row>
    <row r="69">
      <c r="A69" s="2" t="inlineStr">
        <is>
          <t>Optimistic</t>
        </is>
      </c>
      <c r="B69" s="2" t="inlineStr">
        <is>
          <t>DAO/security/legal milestone</t>
        </is>
      </c>
      <c r="C69" s="8">
        <f>IF(AND(Inputs!$F$24&gt;0,1=Inputs!$F$24),Inputs!$F$25,0)</f>
        <v/>
      </c>
      <c r="D69" s="8">
        <f>IF(AND(Inputs!$F$24&gt;0,2=Inputs!$F$24),Inputs!$F$25,0)</f>
        <v/>
      </c>
      <c r="E69" s="8">
        <f>IF(AND(Inputs!$F$24&gt;0,3=Inputs!$F$24),Inputs!$F$25,0)</f>
        <v/>
      </c>
      <c r="F69" s="8">
        <f>IF(AND(Inputs!$F$24&gt;0,4=Inputs!$F$24),Inputs!$F$25,0)</f>
        <v/>
      </c>
      <c r="G69" s="8">
        <f>IF(AND(Inputs!$F$24&gt;0,5=Inputs!$F$24),Inputs!$F$25,0)</f>
        <v/>
      </c>
      <c r="H69" s="8">
        <f>IF(AND(Inputs!$F$24&gt;0,6=Inputs!$F$24),Inputs!$F$25,0)</f>
        <v/>
      </c>
      <c r="I69" s="8">
        <f>IF(AND(Inputs!$F$24&gt;0,7=Inputs!$F$24),Inputs!$F$25,0)</f>
        <v/>
      </c>
      <c r="J69" s="8">
        <f>IF(AND(Inputs!$F$24&gt;0,8=Inputs!$F$24),Inputs!$F$25,0)</f>
        <v/>
      </c>
      <c r="K69" s="8">
        <f>IF(AND(Inputs!$F$24&gt;0,9=Inputs!$F$24),Inputs!$F$25,0)</f>
        <v/>
      </c>
      <c r="L69" s="8">
        <f>IF(AND(Inputs!$F$24&gt;0,10=Inputs!$F$24),Inputs!$F$25,0)</f>
        <v/>
      </c>
      <c r="M69" s="8">
        <f>IF(AND(Inputs!$F$24&gt;0,11=Inputs!$F$24),Inputs!$F$25,0)</f>
        <v/>
      </c>
      <c r="N69" s="8">
        <f>IF(AND(Inputs!$F$24&gt;0,12=Inputs!$F$24),Inputs!$F$25,0)</f>
        <v/>
      </c>
      <c r="O69" s="8">
        <f>IF(AND(Inputs!$F$24&gt;0,13=Inputs!$F$24),Inputs!$F$25,0)</f>
        <v/>
      </c>
      <c r="P69" s="8">
        <f>IF(AND(Inputs!$F$24&gt;0,14=Inputs!$F$24),Inputs!$F$25,0)</f>
        <v/>
      </c>
      <c r="Q69" s="8">
        <f>IF(AND(Inputs!$F$24&gt;0,15=Inputs!$F$24),Inputs!$F$25,0)</f>
        <v/>
      </c>
      <c r="R69" s="8">
        <f>IF(AND(Inputs!$F$24&gt;0,16=Inputs!$F$24),Inputs!$F$25,0)</f>
        <v/>
      </c>
      <c r="S69" s="8">
        <f>IF(AND(Inputs!$F$24&gt;0,17=Inputs!$F$24),Inputs!$F$25,0)</f>
        <v/>
      </c>
      <c r="T69" s="8">
        <f>IF(AND(Inputs!$F$24&gt;0,18=Inputs!$F$24),Inputs!$F$25,0)</f>
        <v/>
      </c>
      <c r="U69" s="8">
        <f>IF(AND(Inputs!$F$24&gt;0,19=Inputs!$F$24),Inputs!$F$25,0)</f>
        <v/>
      </c>
      <c r="V69" s="8">
        <f>IF(AND(Inputs!$F$24&gt;0,20=Inputs!$F$24),Inputs!$F$25,0)</f>
        <v/>
      </c>
      <c r="W69" s="8">
        <f>IF(AND(Inputs!$F$24&gt;0,21=Inputs!$F$24),Inputs!$F$25,0)</f>
        <v/>
      </c>
      <c r="X69" s="8">
        <f>IF(AND(Inputs!$F$24&gt;0,22=Inputs!$F$24),Inputs!$F$25,0)</f>
        <v/>
      </c>
      <c r="Y69" s="8">
        <f>IF(AND(Inputs!$F$24&gt;0,23=Inputs!$F$24),Inputs!$F$25,0)</f>
        <v/>
      </c>
      <c r="Z69" s="8">
        <f>IF(AND(Inputs!$F$24&gt;0,24=Inputs!$F$24),Inputs!$F$25,0)</f>
        <v/>
      </c>
      <c r="AA69" s="8">
        <f>IF(AND(Inputs!$F$24&gt;0,25=Inputs!$F$24),Inputs!$F$25,0)</f>
        <v/>
      </c>
      <c r="AB69" s="8">
        <f>IF(AND(Inputs!$F$24&gt;0,26=Inputs!$F$24),Inputs!$F$25,0)</f>
        <v/>
      </c>
      <c r="AC69" s="8">
        <f>IF(AND(Inputs!$F$24&gt;0,27=Inputs!$F$24),Inputs!$F$25,0)</f>
        <v/>
      </c>
      <c r="AD69" s="8">
        <f>IF(AND(Inputs!$F$24&gt;0,28=Inputs!$F$24),Inputs!$F$25,0)</f>
        <v/>
      </c>
      <c r="AE69" s="8">
        <f>IF(AND(Inputs!$F$24&gt;0,29=Inputs!$F$24),Inputs!$F$25,0)</f>
        <v/>
      </c>
      <c r="AF69" s="8">
        <f>IF(AND(Inputs!$F$24&gt;0,30=Inputs!$F$24),Inputs!$F$25,0)</f>
        <v/>
      </c>
      <c r="AG69" s="8">
        <f>IF(AND(Inputs!$F$24&gt;0,31=Inputs!$F$24),Inputs!$F$25,0)</f>
        <v/>
      </c>
      <c r="AH69" s="8">
        <f>IF(AND(Inputs!$F$24&gt;0,32=Inputs!$F$24),Inputs!$F$25,0)</f>
        <v/>
      </c>
      <c r="AI69" s="8">
        <f>IF(AND(Inputs!$F$24&gt;0,33=Inputs!$F$24),Inputs!$F$25,0)</f>
        <v/>
      </c>
      <c r="AJ69" s="8">
        <f>IF(AND(Inputs!$F$24&gt;0,34=Inputs!$F$24),Inputs!$F$25,0)</f>
        <v/>
      </c>
      <c r="AK69" s="8">
        <f>IF(AND(Inputs!$F$24&gt;0,35=Inputs!$F$24),Inputs!$F$25,0)</f>
        <v/>
      </c>
      <c r="AL69" s="8">
        <f>IF(AND(Inputs!$F$24&gt;0,36=Inputs!$F$24),Inputs!$F$25,0)</f>
        <v/>
      </c>
    </row>
    <row r="70">
      <c r="A70" s="2" t="inlineStr">
        <is>
          <t>Optimistic</t>
        </is>
      </c>
      <c r="B70" s="2" t="inlineStr">
        <is>
          <t>Tax planning reserve</t>
        </is>
      </c>
      <c r="C70" s="8">
        <f>MAX((C59-C61-C62-C63-C64-C65-C66-C67-C68-C69),0)*Inputs!$F$28</f>
        <v/>
      </c>
      <c r="D70" s="8">
        <f>MAX((D59-D61-D62-D63-D64-D65-D66-D67-D68-D69),0)*Inputs!$F$28</f>
        <v/>
      </c>
      <c r="E70" s="8">
        <f>MAX((E59-E61-E62-E63-E64-E65-E66-E67-E68-E69),0)*Inputs!$F$28</f>
        <v/>
      </c>
      <c r="F70" s="8">
        <f>MAX((F59-F61-F62-F63-F64-F65-F66-F67-F68-F69),0)*Inputs!$F$28</f>
        <v/>
      </c>
      <c r="G70" s="8">
        <f>MAX((G59-G61-G62-G63-G64-G65-G66-G67-G68-G69),0)*Inputs!$F$28</f>
        <v/>
      </c>
      <c r="H70" s="8">
        <f>MAX((H59-H61-H62-H63-H64-H65-H66-H67-H68-H69),0)*Inputs!$F$28</f>
        <v/>
      </c>
      <c r="I70" s="8">
        <f>MAX((I59-I61-I62-I63-I64-I65-I66-I67-I68-I69),0)*Inputs!$F$28</f>
        <v/>
      </c>
      <c r="J70" s="8">
        <f>MAX((J59-J61-J62-J63-J64-J65-J66-J67-J68-J69),0)*Inputs!$F$28</f>
        <v/>
      </c>
      <c r="K70" s="8">
        <f>MAX((K59-K61-K62-K63-K64-K65-K66-K67-K68-K69),0)*Inputs!$F$28</f>
        <v/>
      </c>
      <c r="L70" s="8">
        <f>MAX((L59-L61-L62-L63-L64-L65-L66-L67-L68-L69),0)*Inputs!$F$28</f>
        <v/>
      </c>
      <c r="M70" s="8">
        <f>MAX((M59-M61-M62-M63-M64-M65-M66-M67-M68-M69),0)*Inputs!$F$28</f>
        <v/>
      </c>
      <c r="N70" s="8">
        <f>MAX((N59-N61-N62-N63-N64-N65-N66-N67-N68-N69),0)*Inputs!$F$28</f>
        <v/>
      </c>
      <c r="O70" s="8">
        <f>MAX((O59-O61-O62-O63-O64-O65-O66-O67-O68-O69),0)*Inputs!$F$28</f>
        <v/>
      </c>
      <c r="P70" s="8">
        <f>MAX((P59-P61-P62-P63-P64-P65-P66-P67-P68-P69),0)*Inputs!$F$28</f>
        <v/>
      </c>
      <c r="Q70" s="8">
        <f>MAX((Q59-Q61-Q62-Q63-Q64-Q65-Q66-Q67-Q68-Q69),0)*Inputs!$F$28</f>
        <v/>
      </c>
      <c r="R70" s="8">
        <f>MAX((R59-R61-R62-R63-R64-R65-R66-R67-R68-R69),0)*Inputs!$F$28</f>
        <v/>
      </c>
      <c r="S70" s="8">
        <f>MAX((S59-S61-S62-S63-S64-S65-S66-S67-S68-S69),0)*Inputs!$F$28</f>
        <v/>
      </c>
      <c r="T70" s="8">
        <f>MAX((T59-T61-T62-T63-T64-T65-T66-T67-T68-T69),0)*Inputs!$F$28</f>
        <v/>
      </c>
      <c r="U70" s="8">
        <f>MAX((U59-U61-U62-U63-U64-U65-U66-U67-U68-U69),0)*Inputs!$F$28</f>
        <v/>
      </c>
      <c r="V70" s="8">
        <f>MAX((V59-V61-V62-V63-V64-V65-V66-V67-V68-V69),0)*Inputs!$F$28</f>
        <v/>
      </c>
      <c r="W70" s="8">
        <f>MAX((W59-W61-W62-W63-W64-W65-W66-W67-W68-W69),0)*Inputs!$F$28</f>
        <v/>
      </c>
      <c r="X70" s="8">
        <f>MAX((X59-X61-X62-X63-X64-X65-X66-X67-X68-X69),0)*Inputs!$F$28</f>
        <v/>
      </c>
      <c r="Y70" s="8">
        <f>MAX((Y59-Y61-Y62-Y63-Y64-Y65-Y66-Y67-Y68-Y69),0)*Inputs!$F$28</f>
        <v/>
      </c>
      <c r="Z70" s="8">
        <f>MAX((Z59-Z61-Z62-Z63-Z64-Z65-Z66-Z67-Z68-Z69),0)*Inputs!$F$28</f>
        <v/>
      </c>
      <c r="AA70" s="8">
        <f>MAX((AA59-AA61-AA62-AA63-AA64-AA65-AA66-AA67-AA68-AA69),0)*Inputs!$F$28</f>
        <v/>
      </c>
      <c r="AB70" s="8">
        <f>MAX((AB59-AB61-AB62-AB63-AB64-AB65-AB66-AB67-AB68-AB69),0)*Inputs!$F$28</f>
        <v/>
      </c>
      <c r="AC70" s="8">
        <f>MAX((AC59-AC61-AC62-AC63-AC64-AC65-AC66-AC67-AC68-AC69),0)*Inputs!$F$28</f>
        <v/>
      </c>
      <c r="AD70" s="8">
        <f>MAX((AD59-AD61-AD62-AD63-AD64-AD65-AD66-AD67-AD68-AD69),0)*Inputs!$F$28</f>
        <v/>
      </c>
      <c r="AE70" s="8">
        <f>MAX((AE59-AE61-AE62-AE63-AE64-AE65-AE66-AE67-AE68-AE69),0)*Inputs!$F$28</f>
        <v/>
      </c>
      <c r="AF70" s="8">
        <f>MAX((AF59-AF61-AF62-AF63-AF64-AF65-AF66-AF67-AF68-AF69),0)*Inputs!$F$28</f>
        <v/>
      </c>
      <c r="AG70" s="8">
        <f>MAX((AG59-AG61-AG62-AG63-AG64-AG65-AG66-AG67-AG68-AG69),0)*Inputs!$F$28</f>
        <v/>
      </c>
      <c r="AH70" s="8">
        <f>MAX((AH59-AH61-AH62-AH63-AH64-AH65-AH66-AH67-AH68-AH69),0)*Inputs!$F$28</f>
        <v/>
      </c>
      <c r="AI70" s="8">
        <f>MAX((AI59-AI61-AI62-AI63-AI64-AI65-AI66-AI67-AI68-AI69),0)*Inputs!$F$28</f>
        <v/>
      </c>
      <c r="AJ70" s="8">
        <f>MAX((AJ59-AJ61-AJ62-AJ63-AJ64-AJ65-AJ66-AJ67-AJ68-AJ69),0)*Inputs!$F$28</f>
        <v/>
      </c>
      <c r="AK70" s="8">
        <f>MAX((AK59-AK61-AK62-AK63-AK64-AK65-AK66-AK67-AK68-AK69),0)*Inputs!$F$28</f>
        <v/>
      </c>
      <c r="AL70" s="8">
        <f>MAX((AL59-AL61-AL62-AL63-AL64-AL65-AL66-AL67-AL68-AL69),0)*Inputs!$F$28</f>
        <v/>
      </c>
    </row>
    <row r="71">
      <c r="A71" s="2" t="inlineStr">
        <is>
          <t>Optimistic</t>
        </is>
      </c>
      <c r="B71" s="2" t="inlineStr">
        <is>
          <t>Total cash out/reserves</t>
        </is>
      </c>
      <c r="C71" s="8">
        <f>SUM(C61:C70)</f>
        <v/>
      </c>
      <c r="D71" s="8">
        <f>SUM(D61:D70)</f>
        <v/>
      </c>
      <c r="E71" s="8">
        <f>SUM(E61:E70)</f>
        <v/>
      </c>
      <c r="F71" s="8">
        <f>SUM(F61:F70)</f>
        <v/>
      </c>
      <c r="G71" s="8">
        <f>SUM(G61:G70)</f>
        <v/>
      </c>
      <c r="H71" s="8">
        <f>SUM(H61:H70)</f>
        <v/>
      </c>
      <c r="I71" s="8">
        <f>SUM(I61:I70)</f>
        <v/>
      </c>
      <c r="J71" s="8">
        <f>SUM(J61:J70)</f>
        <v/>
      </c>
      <c r="K71" s="8">
        <f>SUM(K61:K70)</f>
        <v/>
      </c>
      <c r="L71" s="8">
        <f>SUM(L61:L70)</f>
        <v/>
      </c>
      <c r="M71" s="8">
        <f>SUM(M61:M70)</f>
        <v/>
      </c>
      <c r="N71" s="8">
        <f>SUM(N61:N70)</f>
        <v/>
      </c>
      <c r="O71" s="8">
        <f>SUM(O61:O70)</f>
        <v/>
      </c>
      <c r="P71" s="8">
        <f>SUM(P61:P70)</f>
        <v/>
      </c>
      <c r="Q71" s="8">
        <f>SUM(Q61:Q70)</f>
        <v/>
      </c>
      <c r="R71" s="8">
        <f>SUM(R61:R70)</f>
        <v/>
      </c>
      <c r="S71" s="8">
        <f>SUM(S61:S70)</f>
        <v/>
      </c>
      <c r="T71" s="8">
        <f>SUM(T61:T70)</f>
        <v/>
      </c>
      <c r="U71" s="8">
        <f>SUM(U61:U70)</f>
        <v/>
      </c>
      <c r="V71" s="8">
        <f>SUM(V61:V70)</f>
        <v/>
      </c>
      <c r="W71" s="8">
        <f>SUM(W61:W70)</f>
        <v/>
      </c>
      <c r="X71" s="8">
        <f>SUM(X61:X70)</f>
        <v/>
      </c>
      <c r="Y71" s="8">
        <f>SUM(Y61:Y70)</f>
        <v/>
      </c>
      <c r="Z71" s="8">
        <f>SUM(Z61:Z70)</f>
        <v/>
      </c>
      <c r="AA71" s="8">
        <f>SUM(AA61:AA70)</f>
        <v/>
      </c>
      <c r="AB71" s="8">
        <f>SUM(AB61:AB70)</f>
        <v/>
      </c>
      <c r="AC71" s="8">
        <f>SUM(AC61:AC70)</f>
        <v/>
      </c>
      <c r="AD71" s="8">
        <f>SUM(AD61:AD70)</f>
        <v/>
      </c>
      <c r="AE71" s="8">
        <f>SUM(AE61:AE70)</f>
        <v/>
      </c>
      <c r="AF71" s="8">
        <f>SUM(AF61:AF70)</f>
        <v/>
      </c>
      <c r="AG71" s="8">
        <f>SUM(AG61:AG70)</f>
        <v/>
      </c>
      <c r="AH71" s="8">
        <f>SUM(AH61:AH70)</f>
        <v/>
      </c>
      <c r="AI71" s="8">
        <f>SUM(AI61:AI70)</f>
        <v/>
      </c>
      <c r="AJ71" s="8">
        <f>SUM(AJ61:AJ70)</f>
        <v/>
      </c>
      <c r="AK71" s="8">
        <f>SUM(AK61:AK70)</f>
        <v/>
      </c>
      <c r="AL71" s="8">
        <f>SUM(AL61:AL70)</f>
        <v/>
      </c>
    </row>
    <row r="72">
      <c r="A72" s="2" t="inlineStr">
        <is>
          <t>Optimistic</t>
        </is>
      </c>
      <c r="B72" s="2" t="inlineStr">
        <is>
          <t>Operating net cash flow</t>
        </is>
      </c>
      <c r="C72" s="8">
        <f>C59-C71</f>
        <v/>
      </c>
      <c r="D72" s="8">
        <f>D59-D71</f>
        <v/>
      </c>
      <c r="E72" s="8">
        <f>E59-E71</f>
        <v/>
      </c>
      <c r="F72" s="8">
        <f>F59-F71</f>
        <v/>
      </c>
      <c r="G72" s="8">
        <f>G59-G71</f>
        <v/>
      </c>
      <c r="H72" s="8">
        <f>H59-H71</f>
        <v/>
      </c>
      <c r="I72" s="8">
        <f>I59-I71</f>
        <v/>
      </c>
      <c r="J72" s="8">
        <f>J59-J71</f>
        <v/>
      </c>
      <c r="K72" s="8">
        <f>K59-K71</f>
        <v/>
      </c>
      <c r="L72" s="8">
        <f>L59-L71</f>
        <v/>
      </c>
      <c r="M72" s="8">
        <f>M59-M71</f>
        <v/>
      </c>
      <c r="N72" s="8">
        <f>N59-N71</f>
        <v/>
      </c>
      <c r="O72" s="8">
        <f>O59-O71</f>
        <v/>
      </c>
      <c r="P72" s="8">
        <f>P59-P71</f>
        <v/>
      </c>
      <c r="Q72" s="8">
        <f>Q59-Q71</f>
        <v/>
      </c>
      <c r="R72" s="8">
        <f>R59-R71</f>
        <v/>
      </c>
      <c r="S72" s="8">
        <f>S59-S71</f>
        <v/>
      </c>
      <c r="T72" s="8">
        <f>T59-T71</f>
        <v/>
      </c>
      <c r="U72" s="8">
        <f>U59-U71</f>
        <v/>
      </c>
      <c r="V72" s="8">
        <f>V59-V71</f>
        <v/>
      </c>
      <c r="W72" s="8">
        <f>W59-W71</f>
        <v/>
      </c>
      <c r="X72" s="8">
        <f>X59-X71</f>
        <v/>
      </c>
      <c r="Y72" s="8">
        <f>Y59-Y71</f>
        <v/>
      </c>
      <c r="Z72" s="8">
        <f>Z59-Z71</f>
        <v/>
      </c>
      <c r="AA72" s="8">
        <f>AA59-AA71</f>
        <v/>
      </c>
      <c r="AB72" s="8">
        <f>AB59-AB71</f>
        <v/>
      </c>
      <c r="AC72" s="8">
        <f>AC59-AC71</f>
        <v/>
      </c>
      <c r="AD72" s="8">
        <f>AD59-AD71</f>
        <v/>
      </c>
      <c r="AE72" s="8">
        <f>AE59-AE71</f>
        <v/>
      </c>
      <c r="AF72" s="8">
        <f>AF59-AF71</f>
        <v/>
      </c>
      <c r="AG72" s="8">
        <f>AG59-AG71</f>
        <v/>
      </c>
      <c r="AH72" s="8">
        <f>AH59-AH71</f>
        <v/>
      </c>
      <c r="AI72" s="8">
        <f>AI59-AI71</f>
        <v/>
      </c>
      <c r="AJ72" s="8">
        <f>AJ59-AJ71</f>
        <v/>
      </c>
      <c r="AK72" s="8">
        <f>AK59-AK71</f>
        <v/>
      </c>
      <c r="AL72" s="8">
        <f>AL59-AL71</f>
        <v/>
      </c>
    </row>
    <row r="73">
      <c r="A73" s="2" t="inlineStr">
        <is>
          <t>Optimistic</t>
        </is>
      </c>
      <c r="B73" s="2" t="inlineStr">
        <is>
          <t>Net cash flow incl. funding</t>
        </is>
      </c>
      <c r="C73" s="8">
        <f>C72+C60</f>
        <v/>
      </c>
      <c r="D73" s="8">
        <f>D72+D60</f>
        <v/>
      </c>
      <c r="E73" s="8">
        <f>E72+E60</f>
        <v/>
      </c>
      <c r="F73" s="8">
        <f>F72+F60</f>
        <v/>
      </c>
      <c r="G73" s="8">
        <f>G72+G60</f>
        <v/>
      </c>
      <c r="H73" s="8">
        <f>H72+H60</f>
        <v/>
      </c>
      <c r="I73" s="8">
        <f>I72+I60</f>
        <v/>
      </c>
      <c r="J73" s="8">
        <f>J72+J60</f>
        <v/>
      </c>
      <c r="K73" s="8">
        <f>K72+K60</f>
        <v/>
      </c>
      <c r="L73" s="8">
        <f>L72+L60</f>
        <v/>
      </c>
      <c r="M73" s="8">
        <f>M72+M60</f>
        <v/>
      </c>
      <c r="N73" s="8">
        <f>N72+N60</f>
        <v/>
      </c>
      <c r="O73" s="8">
        <f>O72+O60</f>
        <v/>
      </c>
      <c r="P73" s="8">
        <f>P72+P60</f>
        <v/>
      </c>
      <c r="Q73" s="8">
        <f>Q72+Q60</f>
        <v/>
      </c>
      <c r="R73" s="8">
        <f>R72+R60</f>
        <v/>
      </c>
      <c r="S73" s="8">
        <f>S72+S60</f>
        <v/>
      </c>
      <c r="T73" s="8">
        <f>T72+T60</f>
        <v/>
      </c>
      <c r="U73" s="8">
        <f>U72+U60</f>
        <v/>
      </c>
      <c r="V73" s="8">
        <f>V72+V60</f>
        <v/>
      </c>
      <c r="W73" s="8">
        <f>W72+W60</f>
        <v/>
      </c>
      <c r="X73" s="8">
        <f>X72+X60</f>
        <v/>
      </c>
      <c r="Y73" s="8">
        <f>Y72+Y60</f>
        <v/>
      </c>
      <c r="Z73" s="8">
        <f>Z72+Z60</f>
        <v/>
      </c>
      <c r="AA73" s="8">
        <f>AA72+AA60</f>
        <v/>
      </c>
      <c r="AB73" s="8">
        <f>AB72+AB60</f>
        <v/>
      </c>
      <c r="AC73" s="8">
        <f>AC72+AC60</f>
        <v/>
      </c>
      <c r="AD73" s="8">
        <f>AD72+AD60</f>
        <v/>
      </c>
      <c r="AE73" s="8">
        <f>AE72+AE60</f>
        <v/>
      </c>
      <c r="AF73" s="8">
        <f>AF72+AF60</f>
        <v/>
      </c>
      <c r="AG73" s="8">
        <f>AG72+AG60</f>
        <v/>
      </c>
      <c r="AH73" s="8">
        <f>AH72+AH60</f>
        <v/>
      </c>
      <c r="AI73" s="8">
        <f>AI72+AI60</f>
        <v/>
      </c>
      <c r="AJ73" s="8">
        <f>AJ72+AJ60</f>
        <v/>
      </c>
      <c r="AK73" s="8">
        <f>AK72+AK60</f>
        <v/>
      </c>
      <c r="AL73" s="8">
        <f>AL72+AL60</f>
        <v/>
      </c>
    </row>
    <row r="74">
      <c r="A74" s="2" t="inlineStr">
        <is>
          <t>Optimistic</t>
        </is>
      </c>
      <c r="B74" s="2" t="inlineStr">
        <is>
          <t>Cumulative cash</t>
        </is>
      </c>
      <c r="C74" s="8">
        <f>Inputs!$F$2+C73</f>
        <v/>
      </c>
      <c r="D74" s="8">
        <f>C74+D73</f>
        <v/>
      </c>
      <c r="E74" s="8">
        <f>D74+E73</f>
        <v/>
      </c>
      <c r="F74" s="8">
        <f>E74+F73</f>
        <v/>
      </c>
      <c r="G74" s="8">
        <f>F74+G73</f>
        <v/>
      </c>
      <c r="H74" s="8">
        <f>G74+H73</f>
        <v/>
      </c>
      <c r="I74" s="8">
        <f>H74+I73</f>
        <v/>
      </c>
      <c r="J74" s="8">
        <f>I74+J73</f>
        <v/>
      </c>
      <c r="K74" s="8">
        <f>J74+K73</f>
        <v/>
      </c>
      <c r="L74" s="8">
        <f>K74+L73</f>
        <v/>
      </c>
      <c r="M74" s="8">
        <f>L74+M73</f>
        <v/>
      </c>
      <c r="N74" s="8">
        <f>M74+N73</f>
        <v/>
      </c>
      <c r="O74" s="8">
        <f>N74+O73</f>
        <v/>
      </c>
      <c r="P74" s="8">
        <f>O74+P73</f>
        <v/>
      </c>
      <c r="Q74" s="8">
        <f>P74+Q73</f>
        <v/>
      </c>
      <c r="R74" s="8">
        <f>Q74+R73</f>
        <v/>
      </c>
      <c r="S74" s="8">
        <f>R74+S73</f>
        <v/>
      </c>
      <c r="T74" s="8">
        <f>S74+T73</f>
        <v/>
      </c>
      <c r="U74" s="8">
        <f>T74+U73</f>
        <v/>
      </c>
      <c r="V74" s="8">
        <f>U74+V73</f>
        <v/>
      </c>
      <c r="W74" s="8">
        <f>V74+W73</f>
        <v/>
      </c>
      <c r="X74" s="8">
        <f>W74+X73</f>
        <v/>
      </c>
      <c r="Y74" s="8">
        <f>X74+Y73</f>
        <v/>
      </c>
      <c r="Z74" s="8">
        <f>Y74+Z73</f>
        <v/>
      </c>
      <c r="AA74" s="8">
        <f>Z74+AA73</f>
        <v/>
      </c>
      <c r="AB74" s="8">
        <f>AA74+AB73</f>
        <v/>
      </c>
      <c r="AC74" s="8">
        <f>AB74+AC73</f>
        <v/>
      </c>
      <c r="AD74" s="8">
        <f>AC74+AD73</f>
        <v/>
      </c>
      <c r="AE74" s="8">
        <f>AD74+AE73</f>
        <v/>
      </c>
      <c r="AF74" s="8">
        <f>AE74+AF73</f>
        <v/>
      </c>
      <c r="AG74" s="8">
        <f>AF74+AG73</f>
        <v/>
      </c>
      <c r="AH74" s="8">
        <f>AG74+AH73</f>
        <v/>
      </c>
      <c r="AI74" s="8">
        <f>AH74+AI73</f>
        <v/>
      </c>
      <c r="AJ74" s="8">
        <f>AI74+AJ73</f>
        <v/>
      </c>
      <c r="AK74" s="8">
        <f>AJ74+AK73</f>
        <v/>
      </c>
      <c r="AL74" s="8">
        <f>AK74+AL73</f>
        <v/>
      </c>
    </row>
    <row r="75">
      <c r="A75" s="2" t="inlineStr">
        <is>
          <t>Optimistic</t>
        </is>
      </c>
      <c r="B75" s="2" t="inlineStr">
        <is>
          <t>Runway status</t>
        </is>
      </c>
      <c r="C75" s="2">
        <f>IF(C74&lt;0,"OUT","OK")</f>
        <v/>
      </c>
      <c r="D75" s="2">
        <f>IF(D74&lt;0,"OUT","OK")</f>
        <v/>
      </c>
      <c r="E75" s="2">
        <f>IF(E74&lt;0,"OUT","OK")</f>
        <v/>
      </c>
      <c r="F75" s="2">
        <f>IF(F74&lt;0,"OUT","OK")</f>
        <v/>
      </c>
      <c r="G75" s="2">
        <f>IF(G74&lt;0,"OUT","OK")</f>
        <v/>
      </c>
      <c r="H75" s="2">
        <f>IF(H74&lt;0,"OUT","OK")</f>
        <v/>
      </c>
      <c r="I75" s="2">
        <f>IF(I74&lt;0,"OUT","OK")</f>
        <v/>
      </c>
      <c r="J75" s="2">
        <f>IF(J74&lt;0,"OUT","OK")</f>
        <v/>
      </c>
      <c r="K75" s="2">
        <f>IF(K74&lt;0,"OUT","OK")</f>
        <v/>
      </c>
      <c r="L75" s="2">
        <f>IF(L74&lt;0,"OUT","OK")</f>
        <v/>
      </c>
      <c r="M75" s="2">
        <f>IF(M74&lt;0,"OUT","OK")</f>
        <v/>
      </c>
      <c r="N75" s="2">
        <f>IF(N74&lt;0,"OUT","OK")</f>
        <v/>
      </c>
      <c r="O75" s="2">
        <f>IF(O74&lt;0,"OUT","OK")</f>
        <v/>
      </c>
      <c r="P75" s="2">
        <f>IF(P74&lt;0,"OUT","OK")</f>
        <v/>
      </c>
      <c r="Q75" s="2">
        <f>IF(Q74&lt;0,"OUT","OK")</f>
        <v/>
      </c>
      <c r="R75" s="2">
        <f>IF(R74&lt;0,"OUT","OK")</f>
        <v/>
      </c>
      <c r="S75" s="2">
        <f>IF(S74&lt;0,"OUT","OK")</f>
        <v/>
      </c>
      <c r="T75" s="2">
        <f>IF(T74&lt;0,"OUT","OK")</f>
        <v/>
      </c>
      <c r="U75" s="2">
        <f>IF(U74&lt;0,"OUT","OK")</f>
        <v/>
      </c>
      <c r="V75" s="2">
        <f>IF(V74&lt;0,"OUT","OK")</f>
        <v/>
      </c>
      <c r="W75" s="2">
        <f>IF(W74&lt;0,"OUT","OK")</f>
        <v/>
      </c>
      <c r="X75" s="2">
        <f>IF(X74&lt;0,"OUT","OK")</f>
        <v/>
      </c>
      <c r="Y75" s="2">
        <f>IF(Y74&lt;0,"OUT","OK")</f>
        <v/>
      </c>
      <c r="Z75" s="2">
        <f>IF(Z74&lt;0,"OUT","OK")</f>
        <v/>
      </c>
      <c r="AA75" s="2">
        <f>IF(AA74&lt;0,"OUT","OK")</f>
        <v/>
      </c>
      <c r="AB75" s="2">
        <f>IF(AB74&lt;0,"OUT","OK")</f>
        <v/>
      </c>
      <c r="AC75" s="2">
        <f>IF(AC74&lt;0,"OUT","OK")</f>
        <v/>
      </c>
      <c r="AD75" s="2">
        <f>IF(AD74&lt;0,"OUT","OK")</f>
        <v/>
      </c>
      <c r="AE75" s="2">
        <f>IF(AE74&lt;0,"OUT","OK")</f>
        <v/>
      </c>
      <c r="AF75" s="2">
        <f>IF(AF74&lt;0,"OUT","OK")</f>
        <v/>
      </c>
      <c r="AG75" s="2">
        <f>IF(AG74&lt;0,"OUT","OK")</f>
        <v/>
      </c>
      <c r="AH75" s="2">
        <f>IF(AH74&lt;0,"OUT","OK")</f>
        <v/>
      </c>
      <c r="AI75" s="2">
        <f>IF(AI74&lt;0,"OUT","OK")</f>
        <v/>
      </c>
      <c r="AJ75" s="2">
        <f>IF(AJ74&lt;0,"OUT","OK")</f>
        <v/>
      </c>
      <c r="AK75" s="2">
        <f>IF(AK74&lt;0,"OUT","OK")</f>
        <v/>
      </c>
      <c r="AL75" s="2">
        <f>IF(AL74&lt;0,"OUT","OK")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Assumption tested</t>
        </is>
      </c>
      <c r="B1" s="10" t="inlineStr">
        <is>
          <t>Case</t>
        </is>
      </c>
      <c r="C1" s="10" t="inlineStr">
        <is>
          <t>Multiplier / override</t>
        </is>
      </c>
      <c r="D1" s="10" t="inlineStr">
        <is>
          <t>Ending cash formula</t>
        </is>
      </c>
      <c r="E1" s="10" t="inlineStr">
        <is>
          <t>Cash-out month formula</t>
        </is>
      </c>
      <c r="F1" s="10" t="inlineStr">
        <is>
          <t>Break-even month formula</t>
        </is>
      </c>
      <c r="G1" s="10" t="inlineStr">
        <is>
          <t>M01</t>
        </is>
      </c>
      <c r="H1" s="10" t="inlineStr">
        <is>
          <t>M02</t>
        </is>
      </c>
      <c r="I1" s="10" t="inlineStr">
        <is>
          <t>M03</t>
        </is>
      </c>
      <c r="J1" s="10" t="inlineStr">
        <is>
          <t>M04</t>
        </is>
      </c>
      <c r="K1" s="10" t="inlineStr">
        <is>
          <t>M05</t>
        </is>
      </c>
      <c r="L1" s="10" t="inlineStr">
        <is>
          <t>M06</t>
        </is>
      </c>
      <c r="M1" s="10" t="inlineStr">
        <is>
          <t>M07</t>
        </is>
      </c>
      <c r="N1" s="10" t="inlineStr">
        <is>
          <t>M08</t>
        </is>
      </c>
      <c r="O1" s="10" t="inlineStr">
        <is>
          <t>M09</t>
        </is>
      </c>
      <c r="P1" s="10" t="inlineStr">
        <is>
          <t>M10</t>
        </is>
      </c>
      <c r="Q1" s="10" t="inlineStr">
        <is>
          <t>M11</t>
        </is>
      </c>
      <c r="R1" s="10" t="inlineStr">
        <is>
          <t>M12</t>
        </is>
      </c>
      <c r="S1" s="10" t="inlineStr">
        <is>
          <t>M13</t>
        </is>
      </c>
      <c r="T1" s="10" t="inlineStr">
        <is>
          <t>M14</t>
        </is>
      </c>
      <c r="U1" s="10" t="inlineStr">
        <is>
          <t>M15</t>
        </is>
      </c>
      <c r="V1" s="10" t="inlineStr">
        <is>
          <t>M16</t>
        </is>
      </c>
      <c r="W1" s="10" t="inlineStr">
        <is>
          <t>M17</t>
        </is>
      </c>
      <c r="X1" s="10" t="inlineStr">
        <is>
          <t>M18</t>
        </is>
      </c>
      <c r="Y1" s="10" t="inlineStr">
        <is>
          <t>M19</t>
        </is>
      </c>
      <c r="Z1" s="10" t="inlineStr">
        <is>
          <t>M20</t>
        </is>
      </c>
      <c r="AA1" s="10" t="inlineStr">
        <is>
          <t>M21</t>
        </is>
      </c>
      <c r="AB1" s="10" t="inlineStr">
        <is>
          <t>M22</t>
        </is>
      </c>
      <c r="AC1" s="10" t="inlineStr">
        <is>
          <t>M23</t>
        </is>
      </c>
      <c r="AD1" s="10" t="inlineStr">
        <is>
          <t>M24</t>
        </is>
      </c>
      <c r="AE1" s="10" t="inlineStr">
        <is>
          <t>M25</t>
        </is>
      </c>
      <c r="AF1" s="10" t="inlineStr">
        <is>
          <t>M26</t>
        </is>
      </c>
      <c r="AG1" s="10" t="inlineStr">
        <is>
          <t>M27</t>
        </is>
      </c>
      <c r="AH1" s="10" t="inlineStr">
        <is>
          <t>M28</t>
        </is>
      </c>
      <c r="AI1" s="10" t="inlineStr">
        <is>
          <t>M29</t>
        </is>
      </c>
      <c r="AJ1" s="10" t="inlineStr">
        <is>
          <t>M30</t>
        </is>
      </c>
      <c r="AK1" s="10" t="inlineStr">
        <is>
          <t>M31</t>
        </is>
      </c>
      <c r="AL1" s="10" t="inlineStr">
        <is>
          <t>M32</t>
        </is>
      </c>
      <c r="AM1" s="10" t="inlineStr">
        <is>
          <t>M33</t>
        </is>
      </c>
      <c r="AN1" s="10" t="inlineStr">
        <is>
          <t>M34</t>
        </is>
      </c>
      <c r="AO1" s="10" t="inlineStr">
        <is>
          <t>M35</t>
        </is>
      </c>
      <c r="AP1" s="10" t="inlineStr">
        <is>
          <t>M36</t>
        </is>
      </c>
    </row>
    <row r="2">
      <c r="A2" s="2" t="inlineStr">
        <is>
          <t>monthly_active_growth</t>
        </is>
      </c>
      <c r="B2" s="2" t="inlineStr">
        <is>
          <t>User growth -20%</t>
        </is>
      </c>
      <c r="C2" s="2" t="n">
        <v>0.8</v>
      </c>
      <c r="D2" s="8">
        <f>AP2</f>
        <v/>
      </c>
      <c r="E2" s="8">
        <f>IFERROR(INDEX($G$1:$AP$1,MATCH(TRUE,$G2:$AP2&lt;0,0)),"No cash-out")</f>
        <v/>
      </c>
      <c r="F2" s="2" t="inlineStr">
        <is>
          <t>See ending cash / cash-out; monthly op net in Monthly Model</t>
        </is>
      </c>
      <c r="G2" s="8">
        <f>Inputs!$E$2+(((((((((Inputs!$E$3*(1+(Inputs!$E$4*$C2))^(1-1))*Inputs!$E$5)*Inputs!$E$6)+((Inputs!$E$7*(1+Inputs!$E$8)^(1-1))*Inputs!$E$9)+(Inputs!$E$11*(1+Inputs!$E$12)^(1-1))+(IF(1&lt;Inputs!$E$13,0,Inputs!$E$14*(1+Inputs!$E$15)^(1-Inputs!$E$13)*Inputs!$E$16))))-((((((((Inputs!$E$3*(1+(Inputs!$E$4*$C2))^(1-1))*Inputs!$E$5)*Inputs!$E$6)+((Inputs!$E$7*(1+Inputs!$E$8)^(1-1))*Inputs!$E$9)+(Inputs!$E$11*(1+Inputs!$E$12)^(1-1))+(IF(1&lt;Inputs!$E$13,0,Inputs!$E$14*(1+Inputs!$E$15)^(1-Inputs!$E$13)*Inputs!$E$16))))*Inputs!$E$26+((((Inputs!$E$3*(1+(Inputs!$E$4*$C2))^(1-1))*Inputs!$E$5)*Inputs!$E$6)+((Inputs!$E$7*(1+Inputs!$E$8)^(1-1))*Inputs!$E$9)+(IF(1&lt;Inputs!$E$13,0,Inputs!$E$14*(1+Inputs!$E$15)^(1-Inputs!$E$13)*Inputs!$E$16)))*Inputs!$E$27+(Inputs!$E$3*(1+(Inputs!$E$4*$C2))^(1-1))*Inputs!$E$30))+(((Inputs!$E$7*(1+Inputs!$E$8)^(1-1))*Inputs!$E$10))+(((((((Inputs!$E$3*(1+(Inputs!$E$4*$C2))^(1-1))*Inputs!$E$5)*Inputs!$E$6)+((Inputs!$E$7*(1+Inputs!$E$8)^(1-1))*Inputs!$E$9)+(Inputs!$E$11*(1+Inputs!$E$12)^(1-1))+(IF(1&lt;Inputs!$E$13,0,Inputs!$E$14*(1+Inputs!$E$15)^(1-Inputs!$E$13)*Inputs!$E$16))))*Inputs!$E$29))+((Inputs!$E$19+Inputs!$E$20+Inputs!$E$21+Inputs!$E$22+Inputs!$E$23))+(IF(AND(Inputs!$E$24&gt;0,1=Inputs!$E$24),Inputs!$E$25,0))+(MAX((((((((Inputs!$E$3*(1+(Inputs!$E$4*$C2))^(1-1))*Inputs!$E$5)*Inputs!$E$6)+((Inputs!$E$7*(1+Inputs!$E$8)^(1-1))*Inputs!$E$9)+(Inputs!$E$11*(1+Inputs!$E$12)^(1-1))+(IF(1&lt;Inputs!$E$13,0,Inputs!$E$14*(1+Inputs!$E$15)^(1-Inputs!$E$13)*Inputs!$E$16))))-(((((((Inputs!$E$3*(1+(Inputs!$E$4*$C2))^(1-1))*Inputs!$E$5)*Inputs!$E$6)+((Inputs!$E$7*(1+Inputs!$E$8)^(1-1))*Inputs!$E$9)+(Inputs!$E$11*(1+Inputs!$E$12)^(1-1))+(IF(1&lt;Inputs!$E$13,0,Inputs!$E$14*(1+Inputs!$E$15)^(1-Inputs!$E$13)*Inputs!$E$16))))*Inputs!$E$26+((((Inputs!$E$3*(1+(Inputs!$E$4*$C2))^(1-1))*Inputs!$E$5)*Inputs!$E$6)+((Inputs!$E$7*(1+Inputs!$E$8)^(1-1))*Inputs!$E$9)+(IF(1&lt;Inputs!$E$13,0,Inputs!$E$14*(1+Inputs!$E$15)^(1-Inputs!$E$13)*Inputs!$E$16)))*Inputs!$E$27+(Inputs!$E$3*(1+(Inputs!$E$4*$C2))^(1-1))*Inputs!$E$30))-(((Inputs!$E$7*(1+Inputs!$E$8)^(1-1))*Inputs!$E$10))-(((((((Inputs!$E$3*(1+(Inputs!$E$4*$C2))^(1-1))*Inputs!$E$5)*Inputs!$E$6)+((Inputs!$E$7*(1+Inputs!$E$8)^(1-1))*Inputs!$E$9)+(Inputs!$E$11*(1+Inputs!$E$12)^(1-1))+(IF(1&lt;Inputs!$E$13,0,Inputs!$E$14*(1+Inputs!$E$15)^(1-Inputs!$E$13)*Inputs!$E$16))))*Inputs!$E$29))-((Inputs!$E$19+Inputs!$E$20+Inputs!$E$21+Inputs!$E$22+Inputs!$E$23))-(IF(AND(Inputs!$E$24&gt;0,1=Inputs!$E$24),Inputs!$E$25,0)))),0)*Inputs!$E$28))))+(IF(AND(Inputs!$E$17&gt;0,1=Inputs!$E$17),Inputs!$E$18,0))))</f>
        <v/>
      </c>
      <c r="H2" s="8">
        <f>G2+(((((((((Inputs!$E$3*(1+(Inputs!$E$4*$C2))^(2-1))*Inputs!$E$5)*Inputs!$E$6)+((Inputs!$E$7*(1+Inputs!$E$8)^(2-1))*Inputs!$E$9)+(Inputs!$E$11*(1+Inputs!$E$12)^(2-1))+(IF(2&lt;Inputs!$E$13,0,Inputs!$E$14*(1+Inputs!$E$15)^(2-Inputs!$E$13)*Inputs!$E$16))))-((((((((Inputs!$E$3*(1+(Inputs!$E$4*$C2))^(2-1))*Inputs!$E$5)*Inputs!$E$6)+((Inputs!$E$7*(1+Inputs!$E$8)^(2-1))*Inputs!$E$9)+(Inputs!$E$11*(1+Inputs!$E$12)^(2-1))+(IF(2&lt;Inputs!$E$13,0,Inputs!$E$14*(1+Inputs!$E$15)^(2-Inputs!$E$13)*Inputs!$E$16))))*Inputs!$E$26+((((Inputs!$E$3*(1+(Inputs!$E$4*$C2))^(2-1))*Inputs!$E$5)*Inputs!$E$6)+((Inputs!$E$7*(1+Inputs!$E$8)^(2-1))*Inputs!$E$9)+(IF(2&lt;Inputs!$E$13,0,Inputs!$E$14*(1+Inputs!$E$15)^(2-Inputs!$E$13)*Inputs!$E$16)))*Inputs!$E$27+(Inputs!$E$3*(1+(Inputs!$E$4*$C2))^(2-1))*Inputs!$E$30))+(((Inputs!$E$7*(1+Inputs!$E$8)^(2-1))*Inputs!$E$10))+(((((((Inputs!$E$3*(1+(Inputs!$E$4*$C2))^(2-1))*Inputs!$E$5)*Inputs!$E$6)+((Inputs!$E$7*(1+Inputs!$E$8)^(2-1))*Inputs!$E$9)+(Inputs!$E$11*(1+Inputs!$E$12)^(2-1))+(IF(2&lt;Inputs!$E$13,0,Inputs!$E$14*(1+Inputs!$E$15)^(2-Inputs!$E$13)*Inputs!$E$16))))*Inputs!$E$29))+((Inputs!$E$19+Inputs!$E$20+Inputs!$E$21+Inputs!$E$22+Inputs!$E$23))+(IF(AND(Inputs!$E$24&gt;0,2=Inputs!$E$24),Inputs!$E$25,0))+(MAX((((((((Inputs!$E$3*(1+(Inputs!$E$4*$C2))^(2-1))*Inputs!$E$5)*Inputs!$E$6)+((Inputs!$E$7*(1+Inputs!$E$8)^(2-1))*Inputs!$E$9)+(Inputs!$E$11*(1+Inputs!$E$12)^(2-1))+(IF(2&lt;Inputs!$E$13,0,Inputs!$E$14*(1+Inputs!$E$15)^(2-Inputs!$E$13)*Inputs!$E$16))))-(((((((Inputs!$E$3*(1+(Inputs!$E$4*$C2))^(2-1))*Inputs!$E$5)*Inputs!$E$6)+((Inputs!$E$7*(1+Inputs!$E$8)^(2-1))*Inputs!$E$9)+(Inputs!$E$11*(1+Inputs!$E$12)^(2-1))+(IF(2&lt;Inputs!$E$13,0,Inputs!$E$14*(1+Inputs!$E$15)^(2-Inputs!$E$13)*Inputs!$E$16))))*Inputs!$E$26+((((Inputs!$E$3*(1+(Inputs!$E$4*$C2))^(2-1))*Inputs!$E$5)*Inputs!$E$6)+((Inputs!$E$7*(1+Inputs!$E$8)^(2-1))*Inputs!$E$9)+(IF(2&lt;Inputs!$E$13,0,Inputs!$E$14*(1+Inputs!$E$15)^(2-Inputs!$E$13)*Inputs!$E$16)))*Inputs!$E$27+(Inputs!$E$3*(1+(Inputs!$E$4*$C2))^(2-1))*Inputs!$E$30))-(((Inputs!$E$7*(1+Inputs!$E$8)^(2-1))*Inputs!$E$10))-(((((((Inputs!$E$3*(1+(Inputs!$E$4*$C2))^(2-1))*Inputs!$E$5)*Inputs!$E$6)+((Inputs!$E$7*(1+Inputs!$E$8)^(2-1))*Inputs!$E$9)+(Inputs!$E$11*(1+Inputs!$E$12)^(2-1))+(IF(2&lt;Inputs!$E$13,0,Inputs!$E$14*(1+Inputs!$E$15)^(2-Inputs!$E$13)*Inputs!$E$16))))*Inputs!$E$29))-((Inputs!$E$19+Inputs!$E$20+Inputs!$E$21+Inputs!$E$22+Inputs!$E$23))-(IF(AND(Inputs!$E$24&gt;0,2=Inputs!$E$24),Inputs!$E$25,0)))),0)*Inputs!$E$28))))+(IF(AND(Inputs!$E$17&gt;0,2=Inputs!$E$17),Inputs!$E$18,0))))</f>
        <v/>
      </c>
      <c r="I2" s="8">
        <f>H2+(((((((((Inputs!$E$3*(1+(Inputs!$E$4*$C2))^(3-1))*Inputs!$E$5)*Inputs!$E$6)+((Inputs!$E$7*(1+Inputs!$E$8)^(3-1))*Inputs!$E$9)+(Inputs!$E$11*(1+Inputs!$E$12)^(3-1))+(IF(3&lt;Inputs!$E$13,0,Inputs!$E$14*(1+Inputs!$E$15)^(3-Inputs!$E$13)*Inputs!$E$16))))-((((((((Inputs!$E$3*(1+(Inputs!$E$4*$C2))^(3-1))*Inputs!$E$5)*Inputs!$E$6)+((Inputs!$E$7*(1+Inputs!$E$8)^(3-1))*Inputs!$E$9)+(Inputs!$E$11*(1+Inputs!$E$12)^(3-1))+(IF(3&lt;Inputs!$E$13,0,Inputs!$E$14*(1+Inputs!$E$15)^(3-Inputs!$E$13)*Inputs!$E$16))))*Inputs!$E$26+((((Inputs!$E$3*(1+(Inputs!$E$4*$C2))^(3-1))*Inputs!$E$5)*Inputs!$E$6)+((Inputs!$E$7*(1+Inputs!$E$8)^(3-1))*Inputs!$E$9)+(IF(3&lt;Inputs!$E$13,0,Inputs!$E$14*(1+Inputs!$E$15)^(3-Inputs!$E$13)*Inputs!$E$16)))*Inputs!$E$27+(Inputs!$E$3*(1+(Inputs!$E$4*$C2))^(3-1))*Inputs!$E$30))+(((Inputs!$E$7*(1+Inputs!$E$8)^(3-1))*Inputs!$E$10))+(((((((Inputs!$E$3*(1+(Inputs!$E$4*$C2))^(3-1))*Inputs!$E$5)*Inputs!$E$6)+((Inputs!$E$7*(1+Inputs!$E$8)^(3-1))*Inputs!$E$9)+(Inputs!$E$11*(1+Inputs!$E$12)^(3-1))+(IF(3&lt;Inputs!$E$13,0,Inputs!$E$14*(1+Inputs!$E$15)^(3-Inputs!$E$13)*Inputs!$E$16))))*Inputs!$E$29))+((Inputs!$E$19+Inputs!$E$20+Inputs!$E$21+Inputs!$E$22+Inputs!$E$23))+(IF(AND(Inputs!$E$24&gt;0,3=Inputs!$E$24),Inputs!$E$25,0))+(MAX((((((((Inputs!$E$3*(1+(Inputs!$E$4*$C2))^(3-1))*Inputs!$E$5)*Inputs!$E$6)+((Inputs!$E$7*(1+Inputs!$E$8)^(3-1))*Inputs!$E$9)+(Inputs!$E$11*(1+Inputs!$E$12)^(3-1))+(IF(3&lt;Inputs!$E$13,0,Inputs!$E$14*(1+Inputs!$E$15)^(3-Inputs!$E$13)*Inputs!$E$16))))-(((((((Inputs!$E$3*(1+(Inputs!$E$4*$C2))^(3-1))*Inputs!$E$5)*Inputs!$E$6)+((Inputs!$E$7*(1+Inputs!$E$8)^(3-1))*Inputs!$E$9)+(Inputs!$E$11*(1+Inputs!$E$12)^(3-1))+(IF(3&lt;Inputs!$E$13,0,Inputs!$E$14*(1+Inputs!$E$15)^(3-Inputs!$E$13)*Inputs!$E$16))))*Inputs!$E$26+((((Inputs!$E$3*(1+(Inputs!$E$4*$C2))^(3-1))*Inputs!$E$5)*Inputs!$E$6)+((Inputs!$E$7*(1+Inputs!$E$8)^(3-1))*Inputs!$E$9)+(IF(3&lt;Inputs!$E$13,0,Inputs!$E$14*(1+Inputs!$E$15)^(3-Inputs!$E$13)*Inputs!$E$16)))*Inputs!$E$27+(Inputs!$E$3*(1+(Inputs!$E$4*$C2))^(3-1))*Inputs!$E$30))-(((Inputs!$E$7*(1+Inputs!$E$8)^(3-1))*Inputs!$E$10))-(((((((Inputs!$E$3*(1+(Inputs!$E$4*$C2))^(3-1))*Inputs!$E$5)*Inputs!$E$6)+((Inputs!$E$7*(1+Inputs!$E$8)^(3-1))*Inputs!$E$9)+(Inputs!$E$11*(1+Inputs!$E$12)^(3-1))+(IF(3&lt;Inputs!$E$13,0,Inputs!$E$14*(1+Inputs!$E$15)^(3-Inputs!$E$13)*Inputs!$E$16))))*Inputs!$E$29))-((Inputs!$E$19+Inputs!$E$20+Inputs!$E$21+Inputs!$E$22+Inputs!$E$23))-(IF(AND(Inputs!$E$24&gt;0,3=Inputs!$E$24),Inputs!$E$25,0)))),0)*Inputs!$E$28))))+(IF(AND(Inputs!$E$17&gt;0,3=Inputs!$E$17),Inputs!$E$18,0))))</f>
        <v/>
      </c>
      <c r="J2" s="8">
        <f>I2+(((((((((Inputs!$E$3*(1+(Inputs!$E$4*$C2))^(4-1))*Inputs!$E$5)*Inputs!$E$6)+((Inputs!$E$7*(1+Inputs!$E$8)^(4-1))*Inputs!$E$9)+(Inputs!$E$11*(1+Inputs!$E$12)^(4-1))+(IF(4&lt;Inputs!$E$13,0,Inputs!$E$14*(1+Inputs!$E$15)^(4-Inputs!$E$13)*Inputs!$E$16))))-((((((((Inputs!$E$3*(1+(Inputs!$E$4*$C2))^(4-1))*Inputs!$E$5)*Inputs!$E$6)+((Inputs!$E$7*(1+Inputs!$E$8)^(4-1))*Inputs!$E$9)+(Inputs!$E$11*(1+Inputs!$E$12)^(4-1))+(IF(4&lt;Inputs!$E$13,0,Inputs!$E$14*(1+Inputs!$E$15)^(4-Inputs!$E$13)*Inputs!$E$16))))*Inputs!$E$26+((((Inputs!$E$3*(1+(Inputs!$E$4*$C2))^(4-1))*Inputs!$E$5)*Inputs!$E$6)+((Inputs!$E$7*(1+Inputs!$E$8)^(4-1))*Inputs!$E$9)+(IF(4&lt;Inputs!$E$13,0,Inputs!$E$14*(1+Inputs!$E$15)^(4-Inputs!$E$13)*Inputs!$E$16)))*Inputs!$E$27+(Inputs!$E$3*(1+(Inputs!$E$4*$C2))^(4-1))*Inputs!$E$30))+(((Inputs!$E$7*(1+Inputs!$E$8)^(4-1))*Inputs!$E$10))+(((((((Inputs!$E$3*(1+(Inputs!$E$4*$C2))^(4-1))*Inputs!$E$5)*Inputs!$E$6)+((Inputs!$E$7*(1+Inputs!$E$8)^(4-1))*Inputs!$E$9)+(Inputs!$E$11*(1+Inputs!$E$12)^(4-1))+(IF(4&lt;Inputs!$E$13,0,Inputs!$E$14*(1+Inputs!$E$15)^(4-Inputs!$E$13)*Inputs!$E$16))))*Inputs!$E$29))+((Inputs!$E$19+Inputs!$E$20+Inputs!$E$21+Inputs!$E$22+Inputs!$E$23))+(IF(AND(Inputs!$E$24&gt;0,4=Inputs!$E$24),Inputs!$E$25,0))+(MAX((((((((Inputs!$E$3*(1+(Inputs!$E$4*$C2))^(4-1))*Inputs!$E$5)*Inputs!$E$6)+((Inputs!$E$7*(1+Inputs!$E$8)^(4-1))*Inputs!$E$9)+(Inputs!$E$11*(1+Inputs!$E$12)^(4-1))+(IF(4&lt;Inputs!$E$13,0,Inputs!$E$14*(1+Inputs!$E$15)^(4-Inputs!$E$13)*Inputs!$E$16))))-(((((((Inputs!$E$3*(1+(Inputs!$E$4*$C2))^(4-1))*Inputs!$E$5)*Inputs!$E$6)+((Inputs!$E$7*(1+Inputs!$E$8)^(4-1))*Inputs!$E$9)+(Inputs!$E$11*(1+Inputs!$E$12)^(4-1))+(IF(4&lt;Inputs!$E$13,0,Inputs!$E$14*(1+Inputs!$E$15)^(4-Inputs!$E$13)*Inputs!$E$16))))*Inputs!$E$26+((((Inputs!$E$3*(1+(Inputs!$E$4*$C2))^(4-1))*Inputs!$E$5)*Inputs!$E$6)+((Inputs!$E$7*(1+Inputs!$E$8)^(4-1))*Inputs!$E$9)+(IF(4&lt;Inputs!$E$13,0,Inputs!$E$14*(1+Inputs!$E$15)^(4-Inputs!$E$13)*Inputs!$E$16)))*Inputs!$E$27+(Inputs!$E$3*(1+(Inputs!$E$4*$C2))^(4-1))*Inputs!$E$30))-(((Inputs!$E$7*(1+Inputs!$E$8)^(4-1))*Inputs!$E$10))-(((((((Inputs!$E$3*(1+(Inputs!$E$4*$C2))^(4-1))*Inputs!$E$5)*Inputs!$E$6)+((Inputs!$E$7*(1+Inputs!$E$8)^(4-1))*Inputs!$E$9)+(Inputs!$E$11*(1+Inputs!$E$12)^(4-1))+(IF(4&lt;Inputs!$E$13,0,Inputs!$E$14*(1+Inputs!$E$15)^(4-Inputs!$E$13)*Inputs!$E$16))))*Inputs!$E$29))-((Inputs!$E$19+Inputs!$E$20+Inputs!$E$21+Inputs!$E$22+Inputs!$E$23))-(IF(AND(Inputs!$E$24&gt;0,4=Inputs!$E$24),Inputs!$E$25,0)))),0)*Inputs!$E$28))))+(IF(AND(Inputs!$E$17&gt;0,4=Inputs!$E$17),Inputs!$E$18,0))))</f>
        <v/>
      </c>
      <c r="K2" s="8">
        <f>J2+(((((((((Inputs!$E$3*(1+(Inputs!$E$4*$C2))^(5-1))*Inputs!$E$5)*Inputs!$E$6)+((Inputs!$E$7*(1+Inputs!$E$8)^(5-1))*Inputs!$E$9)+(Inputs!$E$11*(1+Inputs!$E$12)^(5-1))+(IF(5&lt;Inputs!$E$13,0,Inputs!$E$14*(1+Inputs!$E$15)^(5-Inputs!$E$13)*Inputs!$E$16))))-((((((((Inputs!$E$3*(1+(Inputs!$E$4*$C2))^(5-1))*Inputs!$E$5)*Inputs!$E$6)+((Inputs!$E$7*(1+Inputs!$E$8)^(5-1))*Inputs!$E$9)+(Inputs!$E$11*(1+Inputs!$E$12)^(5-1))+(IF(5&lt;Inputs!$E$13,0,Inputs!$E$14*(1+Inputs!$E$15)^(5-Inputs!$E$13)*Inputs!$E$16))))*Inputs!$E$26+((((Inputs!$E$3*(1+(Inputs!$E$4*$C2))^(5-1))*Inputs!$E$5)*Inputs!$E$6)+((Inputs!$E$7*(1+Inputs!$E$8)^(5-1))*Inputs!$E$9)+(IF(5&lt;Inputs!$E$13,0,Inputs!$E$14*(1+Inputs!$E$15)^(5-Inputs!$E$13)*Inputs!$E$16)))*Inputs!$E$27+(Inputs!$E$3*(1+(Inputs!$E$4*$C2))^(5-1))*Inputs!$E$30))+(((Inputs!$E$7*(1+Inputs!$E$8)^(5-1))*Inputs!$E$10))+(((((((Inputs!$E$3*(1+(Inputs!$E$4*$C2))^(5-1))*Inputs!$E$5)*Inputs!$E$6)+((Inputs!$E$7*(1+Inputs!$E$8)^(5-1))*Inputs!$E$9)+(Inputs!$E$11*(1+Inputs!$E$12)^(5-1))+(IF(5&lt;Inputs!$E$13,0,Inputs!$E$14*(1+Inputs!$E$15)^(5-Inputs!$E$13)*Inputs!$E$16))))*Inputs!$E$29))+((Inputs!$E$19+Inputs!$E$20+Inputs!$E$21+Inputs!$E$22+Inputs!$E$23))+(IF(AND(Inputs!$E$24&gt;0,5=Inputs!$E$24),Inputs!$E$25,0))+(MAX((((((((Inputs!$E$3*(1+(Inputs!$E$4*$C2))^(5-1))*Inputs!$E$5)*Inputs!$E$6)+((Inputs!$E$7*(1+Inputs!$E$8)^(5-1))*Inputs!$E$9)+(Inputs!$E$11*(1+Inputs!$E$12)^(5-1))+(IF(5&lt;Inputs!$E$13,0,Inputs!$E$14*(1+Inputs!$E$15)^(5-Inputs!$E$13)*Inputs!$E$16))))-(((((((Inputs!$E$3*(1+(Inputs!$E$4*$C2))^(5-1))*Inputs!$E$5)*Inputs!$E$6)+((Inputs!$E$7*(1+Inputs!$E$8)^(5-1))*Inputs!$E$9)+(Inputs!$E$11*(1+Inputs!$E$12)^(5-1))+(IF(5&lt;Inputs!$E$13,0,Inputs!$E$14*(1+Inputs!$E$15)^(5-Inputs!$E$13)*Inputs!$E$16))))*Inputs!$E$26+((((Inputs!$E$3*(1+(Inputs!$E$4*$C2))^(5-1))*Inputs!$E$5)*Inputs!$E$6)+((Inputs!$E$7*(1+Inputs!$E$8)^(5-1))*Inputs!$E$9)+(IF(5&lt;Inputs!$E$13,0,Inputs!$E$14*(1+Inputs!$E$15)^(5-Inputs!$E$13)*Inputs!$E$16)))*Inputs!$E$27+(Inputs!$E$3*(1+(Inputs!$E$4*$C2))^(5-1))*Inputs!$E$30))-(((Inputs!$E$7*(1+Inputs!$E$8)^(5-1))*Inputs!$E$10))-(((((((Inputs!$E$3*(1+(Inputs!$E$4*$C2))^(5-1))*Inputs!$E$5)*Inputs!$E$6)+((Inputs!$E$7*(1+Inputs!$E$8)^(5-1))*Inputs!$E$9)+(Inputs!$E$11*(1+Inputs!$E$12)^(5-1))+(IF(5&lt;Inputs!$E$13,0,Inputs!$E$14*(1+Inputs!$E$15)^(5-Inputs!$E$13)*Inputs!$E$16))))*Inputs!$E$29))-((Inputs!$E$19+Inputs!$E$20+Inputs!$E$21+Inputs!$E$22+Inputs!$E$23))-(IF(AND(Inputs!$E$24&gt;0,5=Inputs!$E$24),Inputs!$E$25,0)))),0)*Inputs!$E$28))))+(IF(AND(Inputs!$E$17&gt;0,5=Inputs!$E$17),Inputs!$E$18,0))))</f>
        <v/>
      </c>
      <c r="L2" s="8">
        <f>K2+(((((((((Inputs!$E$3*(1+(Inputs!$E$4*$C2))^(6-1))*Inputs!$E$5)*Inputs!$E$6)+((Inputs!$E$7*(1+Inputs!$E$8)^(6-1))*Inputs!$E$9)+(Inputs!$E$11*(1+Inputs!$E$12)^(6-1))+(IF(6&lt;Inputs!$E$13,0,Inputs!$E$14*(1+Inputs!$E$15)^(6-Inputs!$E$13)*Inputs!$E$16))))-((((((((Inputs!$E$3*(1+(Inputs!$E$4*$C2))^(6-1))*Inputs!$E$5)*Inputs!$E$6)+((Inputs!$E$7*(1+Inputs!$E$8)^(6-1))*Inputs!$E$9)+(Inputs!$E$11*(1+Inputs!$E$12)^(6-1))+(IF(6&lt;Inputs!$E$13,0,Inputs!$E$14*(1+Inputs!$E$15)^(6-Inputs!$E$13)*Inputs!$E$16))))*Inputs!$E$26+((((Inputs!$E$3*(1+(Inputs!$E$4*$C2))^(6-1))*Inputs!$E$5)*Inputs!$E$6)+((Inputs!$E$7*(1+Inputs!$E$8)^(6-1))*Inputs!$E$9)+(IF(6&lt;Inputs!$E$13,0,Inputs!$E$14*(1+Inputs!$E$15)^(6-Inputs!$E$13)*Inputs!$E$16)))*Inputs!$E$27+(Inputs!$E$3*(1+(Inputs!$E$4*$C2))^(6-1))*Inputs!$E$30))+(((Inputs!$E$7*(1+Inputs!$E$8)^(6-1))*Inputs!$E$10))+(((((((Inputs!$E$3*(1+(Inputs!$E$4*$C2))^(6-1))*Inputs!$E$5)*Inputs!$E$6)+((Inputs!$E$7*(1+Inputs!$E$8)^(6-1))*Inputs!$E$9)+(Inputs!$E$11*(1+Inputs!$E$12)^(6-1))+(IF(6&lt;Inputs!$E$13,0,Inputs!$E$14*(1+Inputs!$E$15)^(6-Inputs!$E$13)*Inputs!$E$16))))*Inputs!$E$29))+((Inputs!$E$19+Inputs!$E$20+Inputs!$E$21+Inputs!$E$22+Inputs!$E$23))+(IF(AND(Inputs!$E$24&gt;0,6=Inputs!$E$24),Inputs!$E$25,0))+(MAX((((((((Inputs!$E$3*(1+(Inputs!$E$4*$C2))^(6-1))*Inputs!$E$5)*Inputs!$E$6)+((Inputs!$E$7*(1+Inputs!$E$8)^(6-1))*Inputs!$E$9)+(Inputs!$E$11*(1+Inputs!$E$12)^(6-1))+(IF(6&lt;Inputs!$E$13,0,Inputs!$E$14*(1+Inputs!$E$15)^(6-Inputs!$E$13)*Inputs!$E$16))))-(((((((Inputs!$E$3*(1+(Inputs!$E$4*$C2))^(6-1))*Inputs!$E$5)*Inputs!$E$6)+((Inputs!$E$7*(1+Inputs!$E$8)^(6-1))*Inputs!$E$9)+(Inputs!$E$11*(1+Inputs!$E$12)^(6-1))+(IF(6&lt;Inputs!$E$13,0,Inputs!$E$14*(1+Inputs!$E$15)^(6-Inputs!$E$13)*Inputs!$E$16))))*Inputs!$E$26+((((Inputs!$E$3*(1+(Inputs!$E$4*$C2))^(6-1))*Inputs!$E$5)*Inputs!$E$6)+((Inputs!$E$7*(1+Inputs!$E$8)^(6-1))*Inputs!$E$9)+(IF(6&lt;Inputs!$E$13,0,Inputs!$E$14*(1+Inputs!$E$15)^(6-Inputs!$E$13)*Inputs!$E$16)))*Inputs!$E$27+(Inputs!$E$3*(1+(Inputs!$E$4*$C2))^(6-1))*Inputs!$E$30))-(((Inputs!$E$7*(1+Inputs!$E$8)^(6-1))*Inputs!$E$10))-(((((((Inputs!$E$3*(1+(Inputs!$E$4*$C2))^(6-1))*Inputs!$E$5)*Inputs!$E$6)+((Inputs!$E$7*(1+Inputs!$E$8)^(6-1))*Inputs!$E$9)+(Inputs!$E$11*(1+Inputs!$E$12)^(6-1))+(IF(6&lt;Inputs!$E$13,0,Inputs!$E$14*(1+Inputs!$E$15)^(6-Inputs!$E$13)*Inputs!$E$16))))*Inputs!$E$29))-((Inputs!$E$19+Inputs!$E$20+Inputs!$E$21+Inputs!$E$22+Inputs!$E$23))-(IF(AND(Inputs!$E$24&gt;0,6=Inputs!$E$24),Inputs!$E$25,0)))),0)*Inputs!$E$28))))+(IF(AND(Inputs!$E$17&gt;0,6=Inputs!$E$17),Inputs!$E$18,0))))</f>
        <v/>
      </c>
      <c r="M2" s="8">
        <f>L2+(((((((((Inputs!$E$3*(1+(Inputs!$E$4*$C2))^(7-1))*Inputs!$E$5)*Inputs!$E$6)+((Inputs!$E$7*(1+Inputs!$E$8)^(7-1))*Inputs!$E$9)+(Inputs!$E$11*(1+Inputs!$E$12)^(7-1))+(IF(7&lt;Inputs!$E$13,0,Inputs!$E$14*(1+Inputs!$E$15)^(7-Inputs!$E$13)*Inputs!$E$16))))-((((((((Inputs!$E$3*(1+(Inputs!$E$4*$C2))^(7-1))*Inputs!$E$5)*Inputs!$E$6)+((Inputs!$E$7*(1+Inputs!$E$8)^(7-1))*Inputs!$E$9)+(Inputs!$E$11*(1+Inputs!$E$12)^(7-1))+(IF(7&lt;Inputs!$E$13,0,Inputs!$E$14*(1+Inputs!$E$15)^(7-Inputs!$E$13)*Inputs!$E$16))))*Inputs!$E$26+((((Inputs!$E$3*(1+(Inputs!$E$4*$C2))^(7-1))*Inputs!$E$5)*Inputs!$E$6)+((Inputs!$E$7*(1+Inputs!$E$8)^(7-1))*Inputs!$E$9)+(IF(7&lt;Inputs!$E$13,0,Inputs!$E$14*(1+Inputs!$E$15)^(7-Inputs!$E$13)*Inputs!$E$16)))*Inputs!$E$27+(Inputs!$E$3*(1+(Inputs!$E$4*$C2))^(7-1))*Inputs!$E$30))+(((Inputs!$E$7*(1+Inputs!$E$8)^(7-1))*Inputs!$E$10))+(((((((Inputs!$E$3*(1+(Inputs!$E$4*$C2))^(7-1))*Inputs!$E$5)*Inputs!$E$6)+((Inputs!$E$7*(1+Inputs!$E$8)^(7-1))*Inputs!$E$9)+(Inputs!$E$11*(1+Inputs!$E$12)^(7-1))+(IF(7&lt;Inputs!$E$13,0,Inputs!$E$14*(1+Inputs!$E$15)^(7-Inputs!$E$13)*Inputs!$E$16))))*Inputs!$E$29))+((Inputs!$E$19+Inputs!$E$20+Inputs!$E$21+Inputs!$E$22+Inputs!$E$23))+(IF(AND(Inputs!$E$24&gt;0,7=Inputs!$E$24),Inputs!$E$25,0))+(MAX((((((((Inputs!$E$3*(1+(Inputs!$E$4*$C2))^(7-1))*Inputs!$E$5)*Inputs!$E$6)+((Inputs!$E$7*(1+Inputs!$E$8)^(7-1))*Inputs!$E$9)+(Inputs!$E$11*(1+Inputs!$E$12)^(7-1))+(IF(7&lt;Inputs!$E$13,0,Inputs!$E$14*(1+Inputs!$E$15)^(7-Inputs!$E$13)*Inputs!$E$16))))-(((((((Inputs!$E$3*(1+(Inputs!$E$4*$C2))^(7-1))*Inputs!$E$5)*Inputs!$E$6)+((Inputs!$E$7*(1+Inputs!$E$8)^(7-1))*Inputs!$E$9)+(Inputs!$E$11*(1+Inputs!$E$12)^(7-1))+(IF(7&lt;Inputs!$E$13,0,Inputs!$E$14*(1+Inputs!$E$15)^(7-Inputs!$E$13)*Inputs!$E$16))))*Inputs!$E$26+((((Inputs!$E$3*(1+(Inputs!$E$4*$C2))^(7-1))*Inputs!$E$5)*Inputs!$E$6)+((Inputs!$E$7*(1+Inputs!$E$8)^(7-1))*Inputs!$E$9)+(IF(7&lt;Inputs!$E$13,0,Inputs!$E$14*(1+Inputs!$E$15)^(7-Inputs!$E$13)*Inputs!$E$16)))*Inputs!$E$27+(Inputs!$E$3*(1+(Inputs!$E$4*$C2))^(7-1))*Inputs!$E$30))-(((Inputs!$E$7*(1+Inputs!$E$8)^(7-1))*Inputs!$E$10))-(((((((Inputs!$E$3*(1+(Inputs!$E$4*$C2))^(7-1))*Inputs!$E$5)*Inputs!$E$6)+((Inputs!$E$7*(1+Inputs!$E$8)^(7-1))*Inputs!$E$9)+(Inputs!$E$11*(1+Inputs!$E$12)^(7-1))+(IF(7&lt;Inputs!$E$13,0,Inputs!$E$14*(1+Inputs!$E$15)^(7-Inputs!$E$13)*Inputs!$E$16))))*Inputs!$E$29))-((Inputs!$E$19+Inputs!$E$20+Inputs!$E$21+Inputs!$E$22+Inputs!$E$23))-(IF(AND(Inputs!$E$24&gt;0,7=Inputs!$E$24),Inputs!$E$25,0)))),0)*Inputs!$E$28))))+(IF(AND(Inputs!$E$17&gt;0,7=Inputs!$E$17),Inputs!$E$18,0))))</f>
        <v/>
      </c>
      <c r="N2" s="8">
        <f>M2+(((((((((Inputs!$E$3*(1+(Inputs!$E$4*$C2))^(8-1))*Inputs!$E$5)*Inputs!$E$6)+((Inputs!$E$7*(1+Inputs!$E$8)^(8-1))*Inputs!$E$9)+(Inputs!$E$11*(1+Inputs!$E$12)^(8-1))+(IF(8&lt;Inputs!$E$13,0,Inputs!$E$14*(1+Inputs!$E$15)^(8-Inputs!$E$13)*Inputs!$E$16))))-((((((((Inputs!$E$3*(1+(Inputs!$E$4*$C2))^(8-1))*Inputs!$E$5)*Inputs!$E$6)+((Inputs!$E$7*(1+Inputs!$E$8)^(8-1))*Inputs!$E$9)+(Inputs!$E$11*(1+Inputs!$E$12)^(8-1))+(IF(8&lt;Inputs!$E$13,0,Inputs!$E$14*(1+Inputs!$E$15)^(8-Inputs!$E$13)*Inputs!$E$16))))*Inputs!$E$26+((((Inputs!$E$3*(1+(Inputs!$E$4*$C2))^(8-1))*Inputs!$E$5)*Inputs!$E$6)+((Inputs!$E$7*(1+Inputs!$E$8)^(8-1))*Inputs!$E$9)+(IF(8&lt;Inputs!$E$13,0,Inputs!$E$14*(1+Inputs!$E$15)^(8-Inputs!$E$13)*Inputs!$E$16)))*Inputs!$E$27+(Inputs!$E$3*(1+(Inputs!$E$4*$C2))^(8-1))*Inputs!$E$30))+(((Inputs!$E$7*(1+Inputs!$E$8)^(8-1))*Inputs!$E$10))+(((((((Inputs!$E$3*(1+(Inputs!$E$4*$C2))^(8-1))*Inputs!$E$5)*Inputs!$E$6)+((Inputs!$E$7*(1+Inputs!$E$8)^(8-1))*Inputs!$E$9)+(Inputs!$E$11*(1+Inputs!$E$12)^(8-1))+(IF(8&lt;Inputs!$E$13,0,Inputs!$E$14*(1+Inputs!$E$15)^(8-Inputs!$E$13)*Inputs!$E$16))))*Inputs!$E$29))+((Inputs!$E$19+Inputs!$E$20+Inputs!$E$21+Inputs!$E$22+Inputs!$E$23))+(IF(AND(Inputs!$E$24&gt;0,8=Inputs!$E$24),Inputs!$E$25,0))+(MAX((((((((Inputs!$E$3*(1+(Inputs!$E$4*$C2))^(8-1))*Inputs!$E$5)*Inputs!$E$6)+((Inputs!$E$7*(1+Inputs!$E$8)^(8-1))*Inputs!$E$9)+(Inputs!$E$11*(1+Inputs!$E$12)^(8-1))+(IF(8&lt;Inputs!$E$13,0,Inputs!$E$14*(1+Inputs!$E$15)^(8-Inputs!$E$13)*Inputs!$E$16))))-(((((((Inputs!$E$3*(1+(Inputs!$E$4*$C2))^(8-1))*Inputs!$E$5)*Inputs!$E$6)+((Inputs!$E$7*(1+Inputs!$E$8)^(8-1))*Inputs!$E$9)+(Inputs!$E$11*(1+Inputs!$E$12)^(8-1))+(IF(8&lt;Inputs!$E$13,0,Inputs!$E$14*(1+Inputs!$E$15)^(8-Inputs!$E$13)*Inputs!$E$16))))*Inputs!$E$26+((((Inputs!$E$3*(1+(Inputs!$E$4*$C2))^(8-1))*Inputs!$E$5)*Inputs!$E$6)+((Inputs!$E$7*(1+Inputs!$E$8)^(8-1))*Inputs!$E$9)+(IF(8&lt;Inputs!$E$13,0,Inputs!$E$14*(1+Inputs!$E$15)^(8-Inputs!$E$13)*Inputs!$E$16)))*Inputs!$E$27+(Inputs!$E$3*(1+(Inputs!$E$4*$C2))^(8-1))*Inputs!$E$30))-(((Inputs!$E$7*(1+Inputs!$E$8)^(8-1))*Inputs!$E$10))-(((((((Inputs!$E$3*(1+(Inputs!$E$4*$C2))^(8-1))*Inputs!$E$5)*Inputs!$E$6)+((Inputs!$E$7*(1+Inputs!$E$8)^(8-1))*Inputs!$E$9)+(Inputs!$E$11*(1+Inputs!$E$12)^(8-1))+(IF(8&lt;Inputs!$E$13,0,Inputs!$E$14*(1+Inputs!$E$15)^(8-Inputs!$E$13)*Inputs!$E$16))))*Inputs!$E$29))-((Inputs!$E$19+Inputs!$E$20+Inputs!$E$21+Inputs!$E$22+Inputs!$E$23))-(IF(AND(Inputs!$E$24&gt;0,8=Inputs!$E$24),Inputs!$E$25,0)))),0)*Inputs!$E$28))))+(IF(AND(Inputs!$E$17&gt;0,8=Inputs!$E$17),Inputs!$E$18,0))))</f>
        <v/>
      </c>
      <c r="O2" s="8">
        <f>N2+(((((((((Inputs!$E$3*(1+(Inputs!$E$4*$C2))^(9-1))*Inputs!$E$5)*Inputs!$E$6)+((Inputs!$E$7*(1+Inputs!$E$8)^(9-1))*Inputs!$E$9)+(Inputs!$E$11*(1+Inputs!$E$12)^(9-1))+(IF(9&lt;Inputs!$E$13,0,Inputs!$E$14*(1+Inputs!$E$15)^(9-Inputs!$E$13)*Inputs!$E$16))))-((((((((Inputs!$E$3*(1+(Inputs!$E$4*$C2))^(9-1))*Inputs!$E$5)*Inputs!$E$6)+((Inputs!$E$7*(1+Inputs!$E$8)^(9-1))*Inputs!$E$9)+(Inputs!$E$11*(1+Inputs!$E$12)^(9-1))+(IF(9&lt;Inputs!$E$13,0,Inputs!$E$14*(1+Inputs!$E$15)^(9-Inputs!$E$13)*Inputs!$E$16))))*Inputs!$E$26+((((Inputs!$E$3*(1+(Inputs!$E$4*$C2))^(9-1))*Inputs!$E$5)*Inputs!$E$6)+((Inputs!$E$7*(1+Inputs!$E$8)^(9-1))*Inputs!$E$9)+(IF(9&lt;Inputs!$E$13,0,Inputs!$E$14*(1+Inputs!$E$15)^(9-Inputs!$E$13)*Inputs!$E$16)))*Inputs!$E$27+(Inputs!$E$3*(1+(Inputs!$E$4*$C2))^(9-1))*Inputs!$E$30))+(((Inputs!$E$7*(1+Inputs!$E$8)^(9-1))*Inputs!$E$10))+(((((((Inputs!$E$3*(1+(Inputs!$E$4*$C2))^(9-1))*Inputs!$E$5)*Inputs!$E$6)+((Inputs!$E$7*(1+Inputs!$E$8)^(9-1))*Inputs!$E$9)+(Inputs!$E$11*(1+Inputs!$E$12)^(9-1))+(IF(9&lt;Inputs!$E$13,0,Inputs!$E$14*(1+Inputs!$E$15)^(9-Inputs!$E$13)*Inputs!$E$16))))*Inputs!$E$29))+((Inputs!$E$19+Inputs!$E$20+Inputs!$E$21+Inputs!$E$22+Inputs!$E$23))+(IF(AND(Inputs!$E$24&gt;0,9=Inputs!$E$24),Inputs!$E$25,0))+(MAX((((((((Inputs!$E$3*(1+(Inputs!$E$4*$C2))^(9-1))*Inputs!$E$5)*Inputs!$E$6)+((Inputs!$E$7*(1+Inputs!$E$8)^(9-1))*Inputs!$E$9)+(Inputs!$E$11*(1+Inputs!$E$12)^(9-1))+(IF(9&lt;Inputs!$E$13,0,Inputs!$E$14*(1+Inputs!$E$15)^(9-Inputs!$E$13)*Inputs!$E$16))))-(((((((Inputs!$E$3*(1+(Inputs!$E$4*$C2))^(9-1))*Inputs!$E$5)*Inputs!$E$6)+((Inputs!$E$7*(1+Inputs!$E$8)^(9-1))*Inputs!$E$9)+(Inputs!$E$11*(1+Inputs!$E$12)^(9-1))+(IF(9&lt;Inputs!$E$13,0,Inputs!$E$14*(1+Inputs!$E$15)^(9-Inputs!$E$13)*Inputs!$E$16))))*Inputs!$E$26+((((Inputs!$E$3*(1+(Inputs!$E$4*$C2))^(9-1))*Inputs!$E$5)*Inputs!$E$6)+((Inputs!$E$7*(1+Inputs!$E$8)^(9-1))*Inputs!$E$9)+(IF(9&lt;Inputs!$E$13,0,Inputs!$E$14*(1+Inputs!$E$15)^(9-Inputs!$E$13)*Inputs!$E$16)))*Inputs!$E$27+(Inputs!$E$3*(1+(Inputs!$E$4*$C2))^(9-1))*Inputs!$E$30))-(((Inputs!$E$7*(1+Inputs!$E$8)^(9-1))*Inputs!$E$10))-(((((((Inputs!$E$3*(1+(Inputs!$E$4*$C2))^(9-1))*Inputs!$E$5)*Inputs!$E$6)+((Inputs!$E$7*(1+Inputs!$E$8)^(9-1))*Inputs!$E$9)+(Inputs!$E$11*(1+Inputs!$E$12)^(9-1))+(IF(9&lt;Inputs!$E$13,0,Inputs!$E$14*(1+Inputs!$E$15)^(9-Inputs!$E$13)*Inputs!$E$16))))*Inputs!$E$29))-((Inputs!$E$19+Inputs!$E$20+Inputs!$E$21+Inputs!$E$22+Inputs!$E$23))-(IF(AND(Inputs!$E$24&gt;0,9=Inputs!$E$24),Inputs!$E$25,0)))),0)*Inputs!$E$28))))+(IF(AND(Inputs!$E$17&gt;0,9=Inputs!$E$17),Inputs!$E$18,0))))</f>
        <v/>
      </c>
      <c r="P2" s="8">
        <f>O2+(((((((((Inputs!$E$3*(1+(Inputs!$E$4*$C2))^(10-1))*Inputs!$E$5)*Inputs!$E$6)+((Inputs!$E$7*(1+Inputs!$E$8)^(10-1))*Inputs!$E$9)+(Inputs!$E$11*(1+Inputs!$E$12)^(10-1))+(IF(10&lt;Inputs!$E$13,0,Inputs!$E$14*(1+Inputs!$E$15)^(10-Inputs!$E$13)*Inputs!$E$16))))-((((((((Inputs!$E$3*(1+(Inputs!$E$4*$C2))^(10-1))*Inputs!$E$5)*Inputs!$E$6)+((Inputs!$E$7*(1+Inputs!$E$8)^(10-1))*Inputs!$E$9)+(Inputs!$E$11*(1+Inputs!$E$12)^(10-1))+(IF(10&lt;Inputs!$E$13,0,Inputs!$E$14*(1+Inputs!$E$15)^(10-Inputs!$E$13)*Inputs!$E$16))))*Inputs!$E$26+((((Inputs!$E$3*(1+(Inputs!$E$4*$C2))^(10-1))*Inputs!$E$5)*Inputs!$E$6)+((Inputs!$E$7*(1+Inputs!$E$8)^(10-1))*Inputs!$E$9)+(IF(10&lt;Inputs!$E$13,0,Inputs!$E$14*(1+Inputs!$E$15)^(10-Inputs!$E$13)*Inputs!$E$16)))*Inputs!$E$27+(Inputs!$E$3*(1+(Inputs!$E$4*$C2))^(10-1))*Inputs!$E$30))+(((Inputs!$E$7*(1+Inputs!$E$8)^(10-1))*Inputs!$E$10))+(((((((Inputs!$E$3*(1+(Inputs!$E$4*$C2))^(10-1))*Inputs!$E$5)*Inputs!$E$6)+((Inputs!$E$7*(1+Inputs!$E$8)^(10-1))*Inputs!$E$9)+(Inputs!$E$11*(1+Inputs!$E$12)^(10-1))+(IF(10&lt;Inputs!$E$13,0,Inputs!$E$14*(1+Inputs!$E$15)^(10-Inputs!$E$13)*Inputs!$E$16))))*Inputs!$E$29))+((Inputs!$E$19+Inputs!$E$20+Inputs!$E$21+Inputs!$E$22+Inputs!$E$23))+(IF(AND(Inputs!$E$24&gt;0,10=Inputs!$E$24),Inputs!$E$25,0))+(MAX((((((((Inputs!$E$3*(1+(Inputs!$E$4*$C2))^(10-1))*Inputs!$E$5)*Inputs!$E$6)+((Inputs!$E$7*(1+Inputs!$E$8)^(10-1))*Inputs!$E$9)+(Inputs!$E$11*(1+Inputs!$E$12)^(10-1))+(IF(10&lt;Inputs!$E$13,0,Inputs!$E$14*(1+Inputs!$E$15)^(10-Inputs!$E$13)*Inputs!$E$16))))-(((((((Inputs!$E$3*(1+(Inputs!$E$4*$C2))^(10-1))*Inputs!$E$5)*Inputs!$E$6)+((Inputs!$E$7*(1+Inputs!$E$8)^(10-1))*Inputs!$E$9)+(Inputs!$E$11*(1+Inputs!$E$12)^(10-1))+(IF(10&lt;Inputs!$E$13,0,Inputs!$E$14*(1+Inputs!$E$15)^(10-Inputs!$E$13)*Inputs!$E$16))))*Inputs!$E$26+((((Inputs!$E$3*(1+(Inputs!$E$4*$C2))^(10-1))*Inputs!$E$5)*Inputs!$E$6)+((Inputs!$E$7*(1+Inputs!$E$8)^(10-1))*Inputs!$E$9)+(IF(10&lt;Inputs!$E$13,0,Inputs!$E$14*(1+Inputs!$E$15)^(10-Inputs!$E$13)*Inputs!$E$16)))*Inputs!$E$27+(Inputs!$E$3*(1+(Inputs!$E$4*$C2))^(10-1))*Inputs!$E$30))-(((Inputs!$E$7*(1+Inputs!$E$8)^(10-1))*Inputs!$E$10))-(((((((Inputs!$E$3*(1+(Inputs!$E$4*$C2))^(10-1))*Inputs!$E$5)*Inputs!$E$6)+((Inputs!$E$7*(1+Inputs!$E$8)^(10-1))*Inputs!$E$9)+(Inputs!$E$11*(1+Inputs!$E$12)^(10-1))+(IF(10&lt;Inputs!$E$13,0,Inputs!$E$14*(1+Inputs!$E$15)^(10-Inputs!$E$13)*Inputs!$E$16))))*Inputs!$E$29))-((Inputs!$E$19+Inputs!$E$20+Inputs!$E$21+Inputs!$E$22+Inputs!$E$23))-(IF(AND(Inputs!$E$24&gt;0,10=Inputs!$E$24),Inputs!$E$25,0)))),0)*Inputs!$E$28))))+(IF(AND(Inputs!$E$17&gt;0,10=Inputs!$E$17),Inputs!$E$18,0))))</f>
        <v/>
      </c>
      <c r="Q2" s="8">
        <f>P2+(((((((((Inputs!$E$3*(1+(Inputs!$E$4*$C2))^(11-1))*Inputs!$E$5)*Inputs!$E$6)+((Inputs!$E$7*(1+Inputs!$E$8)^(11-1))*Inputs!$E$9)+(Inputs!$E$11*(1+Inputs!$E$12)^(11-1))+(IF(11&lt;Inputs!$E$13,0,Inputs!$E$14*(1+Inputs!$E$15)^(11-Inputs!$E$13)*Inputs!$E$16))))-((((((((Inputs!$E$3*(1+(Inputs!$E$4*$C2))^(11-1))*Inputs!$E$5)*Inputs!$E$6)+((Inputs!$E$7*(1+Inputs!$E$8)^(11-1))*Inputs!$E$9)+(Inputs!$E$11*(1+Inputs!$E$12)^(11-1))+(IF(11&lt;Inputs!$E$13,0,Inputs!$E$14*(1+Inputs!$E$15)^(11-Inputs!$E$13)*Inputs!$E$16))))*Inputs!$E$26+((((Inputs!$E$3*(1+(Inputs!$E$4*$C2))^(11-1))*Inputs!$E$5)*Inputs!$E$6)+((Inputs!$E$7*(1+Inputs!$E$8)^(11-1))*Inputs!$E$9)+(IF(11&lt;Inputs!$E$13,0,Inputs!$E$14*(1+Inputs!$E$15)^(11-Inputs!$E$13)*Inputs!$E$16)))*Inputs!$E$27+(Inputs!$E$3*(1+(Inputs!$E$4*$C2))^(11-1))*Inputs!$E$30))+(((Inputs!$E$7*(1+Inputs!$E$8)^(11-1))*Inputs!$E$10))+(((((((Inputs!$E$3*(1+(Inputs!$E$4*$C2))^(11-1))*Inputs!$E$5)*Inputs!$E$6)+((Inputs!$E$7*(1+Inputs!$E$8)^(11-1))*Inputs!$E$9)+(Inputs!$E$11*(1+Inputs!$E$12)^(11-1))+(IF(11&lt;Inputs!$E$13,0,Inputs!$E$14*(1+Inputs!$E$15)^(11-Inputs!$E$13)*Inputs!$E$16))))*Inputs!$E$29))+((Inputs!$E$19+Inputs!$E$20+Inputs!$E$21+Inputs!$E$22+Inputs!$E$23))+(IF(AND(Inputs!$E$24&gt;0,11=Inputs!$E$24),Inputs!$E$25,0))+(MAX((((((((Inputs!$E$3*(1+(Inputs!$E$4*$C2))^(11-1))*Inputs!$E$5)*Inputs!$E$6)+((Inputs!$E$7*(1+Inputs!$E$8)^(11-1))*Inputs!$E$9)+(Inputs!$E$11*(1+Inputs!$E$12)^(11-1))+(IF(11&lt;Inputs!$E$13,0,Inputs!$E$14*(1+Inputs!$E$15)^(11-Inputs!$E$13)*Inputs!$E$16))))-(((((((Inputs!$E$3*(1+(Inputs!$E$4*$C2))^(11-1))*Inputs!$E$5)*Inputs!$E$6)+((Inputs!$E$7*(1+Inputs!$E$8)^(11-1))*Inputs!$E$9)+(Inputs!$E$11*(1+Inputs!$E$12)^(11-1))+(IF(11&lt;Inputs!$E$13,0,Inputs!$E$14*(1+Inputs!$E$15)^(11-Inputs!$E$13)*Inputs!$E$16))))*Inputs!$E$26+((((Inputs!$E$3*(1+(Inputs!$E$4*$C2))^(11-1))*Inputs!$E$5)*Inputs!$E$6)+((Inputs!$E$7*(1+Inputs!$E$8)^(11-1))*Inputs!$E$9)+(IF(11&lt;Inputs!$E$13,0,Inputs!$E$14*(1+Inputs!$E$15)^(11-Inputs!$E$13)*Inputs!$E$16)))*Inputs!$E$27+(Inputs!$E$3*(1+(Inputs!$E$4*$C2))^(11-1))*Inputs!$E$30))-(((Inputs!$E$7*(1+Inputs!$E$8)^(11-1))*Inputs!$E$10))-(((((((Inputs!$E$3*(1+(Inputs!$E$4*$C2))^(11-1))*Inputs!$E$5)*Inputs!$E$6)+((Inputs!$E$7*(1+Inputs!$E$8)^(11-1))*Inputs!$E$9)+(Inputs!$E$11*(1+Inputs!$E$12)^(11-1))+(IF(11&lt;Inputs!$E$13,0,Inputs!$E$14*(1+Inputs!$E$15)^(11-Inputs!$E$13)*Inputs!$E$16))))*Inputs!$E$29))-((Inputs!$E$19+Inputs!$E$20+Inputs!$E$21+Inputs!$E$22+Inputs!$E$23))-(IF(AND(Inputs!$E$24&gt;0,11=Inputs!$E$24),Inputs!$E$25,0)))),0)*Inputs!$E$28))))+(IF(AND(Inputs!$E$17&gt;0,11=Inputs!$E$17),Inputs!$E$18,0))))</f>
        <v/>
      </c>
      <c r="R2" s="8">
        <f>Q2+(((((((((Inputs!$E$3*(1+(Inputs!$E$4*$C2))^(12-1))*Inputs!$E$5)*Inputs!$E$6)+((Inputs!$E$7*(1+Inputs!$E$8)^(12-1))*Inputs!$E$9)+(Inputs!$E$11*(1+Inputs!$E$12)^(12-1))+(IF(12&lt;Inputs!$E$13,0,Inputs!$E$14*(1+Inputs!$E$15)^(12-Inputs!$E$13)*Inputs!$E$16))))-((((((((Inputs!$E$3*(1+(Inputs!$E$4*$C2))^(12-1))*Inputs!$E$5)*Inputs!$E$6)+((Inputs!$E$7*(1+Inputs!$E$8)^(12-1))*Inputs!$E$9)+(Inputs!$E$11*(1+Inputs!$E$12)^(12-1))+(IF(12&lt;Inputs!$E$13,0,Inputs!$E$14*(1+Inputs!$E$15)^(12-Inputs!$E$13)*Inputs!$E$16))))*Inputs!$E$26+((((Inputs!$E$3*(1+(Inputs!$E$4*$C2))^(12-1))*Inputs!$E$5)*Inputs!$E$6)+((Inputs!$E$7*(1+Inputs!$E$8)^(12-1))*Inputs!$E$9)+(IF(12&lt;Inputs!$E$13,0,Inputs!$E$14*(1+Inputs!$E$15)^(12-Inputs!$E$13)*Inputs!$E$16)))*Inputs!$E$27+(Inputs!$E$3*(1+(Inputs!$E$4*$C2))^(12-1))*Inputs!$E$30))+(((Inputs!$E$7*(1+Inputs!$E$8)^(12-1))*Inputs!$E$10))+(((((((Inputs!$E$3*(1+(Inputs!$E$4*$C2))^(12-1))*Inputs!$E$5)*Inputs!$E$6)+((Inputs!$E$7*(1+Inputs!$E$8)^(12-1))*Inputs!$E$9)+(Inputs!$E$11*(1+Inputs!$E$12)^(12-1))+(IF(12&lt;Inputs!$E$13,0,Inputs!$E$14*(1+Inputs!$E$15)^(12-Inputs!$E$13)*Inputs!$E$16))))*Inputs!$E$29))+((Inputs!$E$19+Inputs!$E$20+Inputs!$E$21+Inputs!$E$22+Inputs!$E$23))+(IF(AND(Inputs!$E$24&gt;0,12=Inputs!$E$24),Inputs!$E$25,0))+(MAX((((((((Inputs!$E$3*(1+(Inputs!$E$4*$C2))^(12-1))*Inputs!$E$5)*Inputs!$E$6)+((Inputs!$E$7*(1+Inputs!$E$8)^(12-1))*Inputs!$E$9)+(Inputs!$E$11*(1+Inputs!$E$12)^(12-1))+(IF(12&lt;Inputs!$E$13,0,Inputs!$E$14*(1+Inputs!$E$15)^(12-Inputs!$E$13)*Inputs!$E$16))))-(((((((Inputs!$E$3*(1+(Inputs!$E$4*$C2))^(12-1))*Inputs!$E$5)*Inputs!$E$6)+((Inputs!$E$7*(1+Inputs!$E$8)^(12-1))*Inputs!$E$9)+(Inputs!$E$11*(1+Inputs!$E$12)^(12-1))+(IF(12&lt;Inputs!$E$13,0,Inputs!$E$14*(1+Inputs!$E$15)^(12-Inputs!$E$13)*Inputs!$E$16))))*Inputs!$E$26+((((Inputs!$E$3*(1+(Inputs!$E$4*$C2))^(12-1))*Inputs!$E$5)*Inputs!$E$6)+((Inputs!$E$7*(1+Inputs!$E$8)^(12-1))*Inputs!$E$9)+(IF(12&lt;Inputs!$E$13,0,Inputs!$E$14*(1+Inputs!$E$15)^(12-Inputs!$E$13)*Inputs!$E$16)))*Inputs!$E$27+(Inputs!$E$3*(1+(Inputs!$E$4*$C2))^(12-1))*Inputs!$E$30))-(((Inputs!$E$7*(1+Inputs!$E$8)^(12-1))*Inputs!$E$10))-(((((((Inputs!$E$3*(1+(Inputs!$E$4*$C2))^(12-1))*Inputs!$E$5)*Inputs!$E$6)+((Inputs!$E$7*(1+Inputs!$E$8)^(12-1))*Inputs!$E$9)+(Inputs!$E$11*(1+Inputs!$E$12)^(12-1))+(IF(12&lt;Inputs!$E$13,0,Inputs!$E$14*(1+Inputs!$E$15)^(12-Inputs!$E$13)*Inputs!$E$16))))*Inputs!$E$29))-((Inputs!$E$19+Inputs!$E$20+Inputs!$E$21+Inputs!$E$22+Inputs!$E$23))-(IF(AND(Inputs!$E$24&gt;0,12=Inputs!$E$24),Inputs!$E$25,0)))),0)*Inputs!$E$28))))+(IF(AND(Inputs!$E$17&gt;0,12=Inputs!$E$17),Inputs!$E$18,0))))</f>
        <v/>
      </c>
      <c r="S2" s="8">
        <f>R2+(((((((((Inputs!$E$3*(1+(Inputs!$E$4*$C2))^(13-1))*Inputs!$E$5)*Inputs!$E$6)+((Inputs!$E$7*(1+Inputs!$E$8)^(13-1))*Inputs!$E$9)+(Inputs!$E$11*(1+Inputs!$E$12)^(13-1))+(IF(13&lt;Inputs!$E$13,0,Inputs!$E$14*(1+Inputs!$E$15)^(13-Inputs!$E$13)*Inputs!$E$16))))-((((((((Inputs!$E$3*(1+(Inputs!$E$4*$C2))^(13-1))*Inputs!$E$5)*Inputs!$E$6)+((Inputs!$E$7*(1+Inputs!$E$8)^(13-1))*Inputs!$E$9)+(Inputs!$E$11*(1+Inputs!$E$12)^(13-1))+(IF(13&lt;Inputs!$E$13,0,Inputs!$E$14*(1+Inputs!$E$15)^(13-Inputs!$E$13)*Inputs!$E$16))))*Inputs!$E$26+((((Inputs!$E$3*(1+(Inputs!$E$4*$C2))^(13-1))*Inputs!$E$5)*Inputs!$E$6)+((Inputs!$E$7*(1+Inputs!$E$8)^(13-1))*Inputs!$E$9)+(IF(13&lt;Inputs!$E$13,0,Inputs!$E$14*(1+Inputs!$E$15)^(13-Inputs!$E$13)*Inputs!$E$16)))*Inputs!$E$27+(Inputs!$E$3*(1+(Inputs!$E$4*$C2))^(13-1))*Inputs!$E$30))+(((Inputs!$E$7*(1+Inputs!$E$8)^(13-1))*Inputs!$E$10))+(((((((Inputs!$E$3*(1+(Inputs!$E$4*$C2))^(13-1))*Inputs!$E$5)*Inputs!$E$6)+((Inputs!$E$7*(1+Inputs!$E$8)^(13-1))*Inputs!$E$9)+(Inputs!$E$11*(1+Inputs!$E$12)^(13-1))+(IF(13&lt;Inputs!$E$13,0,Inputs!$E$14*(1+Inputs!$E$15)^(13-Inputs!$E$13)*Inputs!$E$16))))*Inputs!$E$29))+((Inputs!$E$19+Inputs!$E$20+Inputs!$E$21+Inputs!$E$22+Inputs!$E$23))+(IF(AND(Inputs!$E$24&gt;0,13=Inputs!$E$24),Inputs!$E$25,0))+(MAX((((((((Inputs!$E$3*(1+(Inputs!$E$4*$C2))^(13-1))*Inputs!$E$5)*Inputs!$E$6)+((Inputs!$E$7*(1+Inputs!$E$8)^(13-1))*Inputs!$E$9)+(Inputs!$E$11*(1+Inputs!$E$12)^(13-1))+(IF(13&lt;Inputs!$E$13,0,Inputs!$E$14*(1+Inputs!$E$15)^(13-Inputs!$E$13)*Inputs!$E$16))))-(((((((Inputs!$E$3*(1+(Inputs!$E$4*$C2))^(13-1))*Inputs!$E$5)*Inputs!$E$6)+((Inputs!$E$7*(1+Inputs!$E$8)^(13-1))*Inputs!$E$9)+(Inputs!$E$11*(1+Inputs!$E$12)^(13-1))+(IF(13&lt;Inputs!$E$13,0,Inputs!$E$14*(1+Inputs!$E$15)^(13-Inputs!$E$13)*Inputs!$E$16))))*Inputs!$E$26+((((Inputs!$E$3*(1+(Inputs!$E$4*$C2))^(13-1))*Inputs!$E$5)*Inputs!$E$6)+((Inputs!$E$7*(1+Inputs!$E$8)^(13-1))*Inputs!$E$9)+(IF(13&lt;Inputs!$E$13,0,Inputs!$E$14*(1+Inputs!$E$15)^(13-Inputs!$E$13)*Inputs!$E$16)))*Inputs!$E$27+(Inputs!$E$3*(1+(Inputs!$E$4*$C2))^(13-1))*Inputs!$E$30))-(((Inputs!$E$7*(1+Inputs!$E$8)^(13-1))*Inputs!$E$10))-(((((((Inputs!$E$3*(1+(Inputs!$E$4*$C2))^(13-1))*Inputs!$E$5)*Inputs!$E$6)+((Inputs!$E$7*(1+Inputs!$E$8)^(13-1))*Inputs!$E$9)+(Inputs!$E$11*(1+Inputs!$E$12)^(13-1))+(IF(13&lt;Inputs!$E$13,0,Inputs!$E$14*(1+Inputs!$E$15)^(13-Inputs!$E$13)*Inputs!$E$16))))*Inputs!$E$29))-((Inputs!$E$19+Inputs!$E$20+Inputs!$E$21+Inputs!$E$22+Inputs!$E$23))-(IF(AND(Inputs!$E$24&gt;0,13=Inputs!$E$24),Inputs!$E$25,0)))),0)*Inputs!$E$28))))+(IF(AND(Inputs!$E$17&gt;0,13=Inputs!$E$17),Inputs!$E$18,0))))</f>
        <v/>
      </c>
      <c r="T2" s="8">
        <f>S2+(((((((((Inputs!$E$3*(1+(Inputs!$E$4*$C2))^(14-1))*Inputs!$E$5)*Inputs!$E$6)+((Inputs!$E$7*(1+Inputs!$E$8)^(14-1))*Inputs!$E$9)+(Inputs!$E$11*(1+Inputs!$E$12)^(14-1))+(IF(14&lt;Inputs!$E$13,0,Inputs!$E$14*(1+Inputs!$E$15)^(14-Inputs!$E$13)*Inputs!$E$16))))-((((((((Inputs!$E$3*(1+(Inputs!$E$4*$C2))^(14-1))*Inputs!$E$5)*Inputs!$E$6)+((Inputs!$E$7*(1+Inputs!$E$8)^(14-1))*Inputs!$E$9)+(Inputs!$E$11*(1+Inputs!$E$12)^(14-1))+(IF(14&lt;Inputs!$E$13,0,Inputs!$E$14*(1+Inputs!$E$15)^(14-Inputs!$E$13)*Inputs!$E$16))))*Inputs!$E$26+((((Inputs!$E$3*(1+(Inputs!$E$4*$C2))^(14-1))*Inputs!$E$5)*Inputs!$E$6)+((Inputs!$E$7*(1+Inputs!$E$8)^(14-1))*Inputs!$E$9)+(IF(14&lt;Inputs!$E$13,0,Inputs!$E$14*(1+Inputs!$E$15)^(14-Inputs!$E$13)*Inputs!$E$16)))*Inputs!$E$27+(Inputs!$E$3*(1+(Inputs!$E$4*$C2))^(14-1))*Inputs!$E$30))+(((Inputs!$E$7*(1+Inputs!$E$8)^(14-1))*Inputs!$E$10))+(((((((Inputs!$E$3*(1+(Inputs!$E$4*$C2))^(14-1))*Inputs!$E$5)*Inputs!$E$6)+((Inputs!$E$7*(1+Inputs!$E$8)^(14-1))*Inputs!$E$9)+(Inputs!$E$11*(1+Inputs!$E$12)^(14-1))+(IF(14&lt;Inputs!$E$13,0,Inputs!$E$14*(1+Inputs!$E$15)^(14-Inputs!$E$13)*Inputs!$E$16))))*Inputs!$E$29))+((Inputs!$E$19+Inputs!$E$20+Inputs!$E$21+Inputs!$E$22+Inputs!$E$23))+(IF(AND(Inputs!$E$24&gt;0,14=Inputs!$E$24),Inputs!$E$25,0))+(MAX((((((((Inputs!$E$3*(1+(Inputs!$E$4*$C2))^(14-1))*Inputs!$E$5)*Inputs!$E$6)+((Inputs!$E$7*(1+Inputs!$E$8)^(14-1))*Inputs!$E$9)+(Inputs!$E$11*(1+Inputs!$E$12)^(14-1))+(IF(14&lt;Inputs!$E$13,0,Inputs!$E$14*(1+Inputs!$E$15)^(14-Inputs!$E$13)*Inputs!$E$16))))-(((((((Inputs!$E$3*(1+(Inputs!$E$4*$C2))^(14-1))*Inputs!$E$5)*Inputs!$E$6)+((Inputs!$E$7*(1+Inputs!$E$8)^(14-1))*Inputs!$E$9)+(Inputs!$E$11*(1+Inputs!$E$12)^(14-1))+(IF(14&lt;Inputs!$E$13,0,Inputs!$E$14*(1+Inputs!$E$15)^(14-Inputs!$E$13)*Inputs!$E$16))))*Inputs!$E$26+((((Inputs!$E$3*(1+(Inputs!$E$4*$C2))^(14-1))*Inputs!$E$5)*Inputs!$E$6)+((Inputs!$E$7*(1+Inputs!$E$8)^(14-1))*Inputs!$E$9)+(IF(14&lt;Inputs!$E$13,0,Inputs!$E$14*(1+Inputs!$E$15)^(14-Inputs!$E$13)*Inputs!$E$16)))*Inputs!$E$27+(Inputs!$E$3*(1+(Inputs!$E$4*$C2))^(14-1))*Inputs!$E$30))-(((Inputs!$E$7*(1+Inputs!$E$8)^(14-1))*Inputs!$E$10))-(((((((Inputs!$E$3*(1+(Inputs!$E$4*$C2))^(14-1))*Inputs!$E$5)*Inputs!$E$6)+((Inputs!$E$7*(1+Inputs!$E$8)^(14-1))*Inputs!$E$9)+(Inputs!$E$11*(1+Inputs!$E$12)^(14-1))+(IF(14&lt;Inputs!$E$13,0,Inputs!$E$14*(1+Inputs!$E$15)^(14-Inputs!$E$13)*Inputs!$E$16))))*Inputs!$E$29))-((Inputs!$E$19+Inputs!$E$20+Inputs!$E$21+Inputs!$E$22+Inputs!$E$23))-(IF(AND(Inputs!$E$24&gt;0,14=Inputs!$E$24),Inputs!$E$25,0)))),0)*Inputs!$E$28))))+(IF(AND(Inputs!$E$17&gt;0,14=Inputs!$E$17),Inputs!$E$18,0))))</f>
        <v/>
      </c>
      <c r="U2" s="8">
        <f>T2+(((((((((Inputs!$E$3*(1+(Inputs!$E$4*$C2))^(15-1))*Inputs!$E$5)*Inputs!$E$6)+((Inputs!$E$7*(1+Inputs!$E$8)^(15-1))*Inputs!$E$9)+(Inputs!$E$11*(1+Inputs!$E$12)^(15-1))+(IF(15&lt;Inputs!$E$13,0,Inputs!$E$14*(1+Inputs!$E$15)^(15-Inputs!$E$13)*Inputs!$E$16))))-((((((((Inputs!$E$3*(1+(Inputs!$E$4*$C2))^(15-1))*Inputs!$E$5)*Inputs!$E$6)+((Inputs!$E$7*(1+Inputs!$E$8)^(15-1))*Inputs!$E$9)+(Inputs!$E$11*(1+Inputs!$E$12)^(15-1))+(IF(15&lt;Inputs!$E$13,0,Inputs!$E$14*(1+Inputs!$E$15)^(15-Inputs!$E$13)*Inputs!$E$16))))*Inputs!$E$26+((((Inputs!$E$3*(1+(Inputs!$E$4*$C2))^(15-1))*Inputs!$E$5)*Inputs!$E$6)+((Inputs!$E$7*(1+Inputs!$E$8)^(15-1))*Inputs!$E$9)+(IF(15&lt;Inputs!$E$13,0,Inputs!$E$14*(1+Inputs!$E$15)^(15-Inputs!$E$13)*Inputs!$E$16)))*Inputs!$E$27+(Inputs!$E$3*(1+(Inputs!$E$4*$C2))^(15-1))*Inputs!$E$30))+(((Inputs!$E$7*(1+Inputs!$E$8)^(15-1))*Inputs!$E$10))+(((((((Inputs!$E$3*(1+(Inputs!$E$4*$C2))^(15-1))*Inputs!$E$5)*Inputs!$E$6)+((Inputs!$E$7*(1+Inputs!$E$8)^(15-1))*Inputs!$E$9)+(Inputs!$E$11*(1+Inputs!$E$12)^(15-1))+(IF(15&lt;Inputs!$E$13,0,Inputs!$E$14*(1+Inputs!$E$15)^(15-Inputs!$E$13)*Inputs!$E$16))))*Inputs!$E$29))+((Inputs!$E$19+Inputs!$E$20+Inputs!$E$21+Inputs!$E$22+Inputs!$E$23))+(IF(AND(Inputs!$E$24&gt;0,15=Inputs!$E$24),Inputs!$E$25,0))+(MAX((((((((Inputs!$E$3*(1+(Inputs!$E$4*$C2))^(15-1))*Inputs!$E$5)*Inputs!$E$6)+((Inputs!$E$7*(1+Inputs!$E$8)^(15-1))*Inputs!$E$9)+(Inputs!$E$11*(1+Inputs!$E$12)^(15-1))+(IF(15&lt;Inputs!$E$13,0,Inputs!$E$14*(1+Inputs!$E$15)^(15-Inputs!$E$13)*Inputs!$E$16))))-(((((((Inputs!$E$3*(1+(Inputs!$E$4*$C2))^(15-1))*Inputs!$E$5)*Inputs!$E$6)+((Inputs!$E$7*(1+Inputs!$E$8)^(15-1))*Inputs!$E$9)+(Inputs!$E$11*(1+Inputs!$E$12)^(15-1))+(IF(15&lt;Inputs!$E$13,0,Inputs!$E$14*(1+Inputs!$E$15)^(15-Inputs!$E$13)*Inputs!$E$16))))*Inputs!$E$26+((((Inputs!$E$3*(1+(Inputs!$E$4*$C2))^(15-1))*Inputs!$E$5)*Inputs!$E$6)+((Inputs!$E$7*(1+Inputs!$E$8)^(15-1))*Inputs!$E$9)+(IF(15&lt;Inputs!$E$13,0,Inputs!$E$14*(1+Inputs!$E$15)^(15-Inputs!$E$13)*Inputs!$E$16)))*Inputs!$E$27+(Inputs!$E$3*(1+(Inputs!$E$4*$C2))^(15-1))*Inputs!$E$30))-(((Inputs!$E$7*(1+Inputs!$E$8)^(15-1))*Inputs!$E$10))-(((((((Inputs!$E$3*(1+(Inputs!$E$4*$C2))^(15-1))*Inputs!$E$5)*Inputs!$E$6)+((Inputs!$E$7*(1+Inputs!$E$8)^(15-1))*Inputs!$E$9)+(Inputs!$E$11*(1+Inputs!$E$12)^(15-1))+(IF(15&lt;Inputs!$E$13,0,Inputs!$E$14*(1+Inputs!$E$15)^(15-Inputs!$E$13)*Inputs!$E$16))))*Inputs!$E$29))-((Inputs!$E$19+Inputs!$E$20+Inputs!$E$21+Inputs!$E$22+Inputs!$E$23))-(IF(AND(Inputs!$E$24&gt;0,15=Inputs!$E$24),Inputs!$E$25,0)))),0)*Inputs!$E$28))))+(IF(AND(Inputs!$E$17&gt;0,15=Inputs!$E$17),Inputs!$E$18,0))))</f>
        <v/>
      </c>
      <c r="V2" s="8">
        <f>U2+(((((((((Inputs!$E$3*(1+(Inputs!$E$4*$C2))^(16-1))*Inputs!$E$5)*Inputs!$E$6)+((Inputs!$E$7*(1+Inputs!$E$8)^(16-1))*Inputs!$E$9)+(Inputs!$E$11*(1+Inputs!$E$12)^(16-1))+(IF(16&lt;Inputs!$E$13,0,Inputs!$E$14*(1+Inputs!$E$15)^(16-Inputs!$E$13)*Inputs!$E$16))))-((((((((Inputs!$E$3*(1+(Inputs!$E$4*$C2))^(16-1))*Inputs!$E$5)*Inputs!$E$6)+((Inputs!$E$7*(1+Inputs!$E$8)^(16-1))*Inputs!$E$9)+(Inputs!$E$11*(1+Inputs!$E$12)^(16-1))+(IF(16&lt;Inputs!$E$13,0,Inputs!$E$14*(1+Inputs!$E$15)^(16-Inputs!$E$13)*Inputs!$E$16))))*Inputs!$E$26+((((Inputs!$E$3*(1+(Inputs!$E$4*$C2))^(16-1))*Inputs!$E$5)*Inputs!$E$6)+((Inputs!$E$7*(1+Inputs!$E$8)^(16-1))*Inputs!$E$9)+(IF(16&lt;Inputs!$E$13,0,Inputs!$E$14*(1+Inputs!$E$15)^(16-Inputs!$E$13)*Inputs!$E$16)))*Inputs!$E$27+(Inputs!$E$3*(1+(Inputs!$E$4*$C2))^(16-1))*Inputs!$E$30))+(((Inputs!$E$7*(1+Inputs!$E$8)^(16-1))*Inputs!$E$10))+(((((((Inputs!$E$3*(1+(Inputs!$E$4*$C2))^(16-1))*Inputs!$E$5)*Inputs!$E$6)+((Inputs!$E$7*(1+Inputs!$E$8)^(16-1))*Inputs!$E$9)+(Inputs!$E$11*(1+Inputs!$E$12)^(16-1))+(IF(16&lt;Inputs!$E$13,0,Inputs!$E$14*(1+Inputs!$E$15)^(16-Inputs!$E$13)*Inputs!$E$16))))*Inputs!$E$29))+((Inputs!$E$19+Inputs!$E$20+Inputs!$E$21+Inputs!$E$22+Inputs!$E$23))+(IF(AND(Inputs!$E$24&gt;0,16=Inputs!$E$24),Inputs!$E$25,0))+(MAX((((((((Inputs!$E$3*(1+(Inputs!$E$4*$C2))^(16-1))*Inputs!$E$5)*Inputs!$E$6)+((Inputs!$E$7*(1+Inputs!$E$8)^(16-1))*Inputs!$E$9)+(Inputs!$E$11*(1+Inputs!$E$12)^(16-1))+(IF(16&lt;Inputs!$E$13,0,Inputs!$E$14*(1+Inputs!$E$15)^(16-Inputs!$E$13)*Inputs!$E$16))))-(((((((Inputs!$E$3*(1+(Inputs!$E$4*$C2))^(16-1))*Inputs!$E$5)*Inputs!$E$6)+((Inputs!$E$7*(1+Inputs!$E$8)^(16-1))*Inputs!$E$9)+(Inputs!$E$11*(1+Inputs!$E$12)^(16-1))+(IF(16&lt;Inputs!$E$13,0,Inputs!$E$14*(1+Inputs!$E$15)^(16-Inputs!$E$13)*Inputs!$E$16))))*Inputs!$E$26+((((Inputs!$E$3*(1+(Inputs!$E$4*$C2))^(16-1))*Inputs!$E$5)*Inputs!$E$6)+((Inputs!$E$7*(1+Inputs!$E$8)^(16-1))*Inputs!$E$9)+(IF(16&lt;Inputs!$E$13,0,Inputs!$E$14*(1+Inputs!$E$15)^(16-Inputs!$E$13)*Inputs!$E$16)))*Inputs!$E$27+(Inputs!$E$3*(1+(Inputs!$E$4*$C2))^(16-1))*Inputs!$E$30))-(((Inputs!$E$7*(1+Inputs!$E$8)^(16-1))*Inputs!$E$10))-(((((((Inputs!$E$3*(1+(Inputs!$E$4*$C2))^(16-1))*Inputs!$E$5)*Inputs!$E$6)+((Inputs!$E$7*(1+Inputs!$E$8)^(16-1))*Inputs!$E$9)+(Inputs!$E$11*(1+Inputs!$E$12)^(16-1))+(IF(16&lt;Inputs!$E$13,0,Inputs!$E$14*(1+Inputs!$E$15)^(16-Inputs!$E$13)*Inputs!$E$16))))*Inputs!$E$29))-((Inputs!$E$19+Inputs!$E$20+Inputs!$E$21+Inputs!$E$22+Inputs!$E$23))-(IF(AND(Inputs!$E$24&gt;0,16=Inputs!$E$24),Inputs!$E$25,0)))),0)*Inputs!$E$28))))+(IF(AND(Inputs!$E$17&gt;0,16=Inputs!$E$17),Inputs!$E$18,0))))</f>
        <v/>
      </c>
      <c r="W2" s="8">
        <f>V2+(((((((((Inputs!$E$3*(1+(Inputs!$E$4*$C2))^(17-1))*Inputs!$E$5)*Inputs!$E$6)+((Inputs!$E$7*(1+Inputs!$E$8)^(17-1))*Inputs!$E$9)+(Inputs!$E$11*(1+Inputs!$E$12)^(17-1))+(IF(17&lt;Inputs!$E$13,0,Inputs!$E$14*(1+Inputs!$E$15)^(17-Inputs!$E$13)*Inputs!$E$16))))-((((((((Inputs!$E$3*(1+(Inputs!$E$4*$C2))^(17-1))*Inputs!$E$5)*Inputs!$E$6)+((Inputs!$E$7*(1+Inputs!$E$8)^(17-1))*Inputs!$E$9)+(Inputs!$E$11*(1+Inputs!$E$12)^(17-1))+(IF(17&lt;Inputs!$E$13,0,Inputs!$E$14*(1+Inputs!$E$15)^(17-Inputs!$E$13)*Inputs!$E$16))))*Inputs!$E$26+((((Inputs!$E$3*(1+(Inputs!$E$4*$C2))^(17-1))*Inputs!$E$5)*Inputs!$E$6)+((Inputs!$E$7*(1+Inputs!$E$8)^(17-1))*Inputs!$E$9)+(IF(17&lt;Inputs!$E$13,0,Inputs!$E$14*(1+Inputs!$E$15)^(17-Inputs!$E$13)*Inputs!$E$16)))*Inputs!$E$27+(Inputs!$E$3*(1+(Inputs!$E$4*$C2))^(17-1))*Inputs!$E$30))+(((Inputs!$E$7*(1+Inputs!$E$8)^(17-1))*Inputs!$E$10))+(((((((Inputs!$E$3*(1+(Inputs!$E$4*$C2))^(17-1))*Inputs!$E$5)*Inputs!$E$6)+((Inputs!$E$7*(1+Inputs!$E$8)^(17-1))*Inputs!$E$9)+(Inputs!$E$11*(1+Inputs!$E$12)^(17-1))+(IF(17&lt;Inputs!$E$13,0,Inputs!$E$14*(1+Inputs!$E$15)^(17-Inputs!$E$13)*Inputs!$E$16))))*Inputs!$E$29))+((Inputs!$E$19+Inputs!$E$20+Inputs!$E$21+Inputs!$E$22+Inputs!$E$23))+(IF(AND(Inputs!$E$24&gt;0,17=Inputs!$E$24),Inputs!$E$25,0))+(MAX((((((((Inputs!$E$3*(1+(Inputs!$E$4*$C2))^(17-1))*Inputs!$E$5)*Inputs!$E$6)+((Inputs!$E$7*(1+Inputs!$E$8)^(17-1))*Inputs!$E$9)+(Inputs!$E$11*(1+Inputs!$E$12)^(17-1))+(IF(17&lt;Inputs!$E$13,0,Inputs!$E$14*(1+Inputs!$E$15)^(17-Inputs!$E$13)*Inputs!$E$16))))-(((((((Inputs!$E$3*(1+(Inputs!$E$4*$C2))^(17-1))*Inputs!$E$5)*Inputs!$E$6)+((Inputs!$E$7*(1+Inputs!$E$8)^(17-1))*Inputs!$E$9)+(Inputs!$E$11*(1+Inputs!$E$12)^(17-1))+(IF(17&lt;Inputs!$E$13,0,Inputs!$E$14*(1+Inputs!$E$15)^(17-Inputs!$E$13)*Inputs!$E$16))))*Inputs!$E$26+((((Inputs!$E$3*(1+(Inputs!$E$4*$C2))^(17-1))*Inputs!$E$5)*Inputs!$E$6)+((Inputs!$E$7*(1+Inputs!$E$8)^(17-1))*Inputs!$E$9)+(IF(17&lt;Inputs!$E$13,0,Inputs!$E$14*(1+Inputs!$E$15)^(17-Inputs!$E$13)*Inputs!$E$16)))*Inputs!$E$27+(Inputs!$E$3*(1+(Inputs!$E$4*$C2))^(17-1))*Inputs!$E$30))-(((Inputs!$E$7*(1+Inputs!$E$8)^(17-1))*Inputs!$E$10))-(((((((Inputs!$E$3*(1+(Inputs!$E$4*$C2))^(17-1))*Inputs!$E$5)*Inputs!$E$6)+((Inputs!$E$7*(1+Inputs!$E$8)^(17-1))*Inputs!$E$9)+(Inputs!$E$11*(1+Inputs!$E$12)^(17-1))+(IF(17&lt;Inputs!$E$13,0,Inputs!$E$14*(1+Inputs!$E$15)^(17-Inputs!$E$13)*Inputs!$E$16))))*Inputs!$E$29))-((Inputs!$E$19+Inputs!$E$20+Inputs!$E$21+Inputs!$E$22+Inputs!$E$23))-(IF(AND(Inputs!$E$24&gt;0,17=Inputs!$E$24),Inputs!$E$25,0)))),0)*Inputs!$E$28))))+(IF(AND(Inputs!$E$17&gt;0,17=Inputs!$E$17),Inputs!$E$18,0))))</f>
        <v/>
      </c>
      <c r="X2" s="8">
        <f>W2+(((((((((Inputs!$E$3*(1+(Inputs!$E$4*$C2))^(18-1))*Inputs!$E$5)*Inputs!$E$6)+((Inputs!$E$7*(1+Inputs!$E$8)^(18-1))*Inputs!$E$9)+(Inputs!$E$11*(1+Inputs!$E$12)^(18-1))+(IF(18&lt;Inputs!$E$13,0,Inputs!$E$14*(1+Inputs!$E$15)^(18-Inputs!$E$13)*Inputs!$E$16))))-((((((((Inputs!$E$3*(1+(Inputs!$E$4*$C2))^(18-1))*Inputs!$E$5)*Inputs!$E$6)+((Inputs!$E$7*(1+Inputs!$E$8)^(18-1))*Inputs!$E$9)+(Inputs!$E$11*(1+Inputs!$E$12)^(18-1))+(IF(18&lt;Inputs!$E$13,0,Inputs!$E$14*(1+Inputs!$E$15)^(18-Inputs!$E$13)*Inputs!$E$16))))*Inputs!$E$26+((((Inputs!$E$3*(1+(Inputs!$E$4*$C2))^(18-1))*Inputs!$E$5)*Inputs!$E$6)+((Inputs!$E$7*(1+Inputs!$E$8)^(18-1))*Inputs!$E$9)+(IF(18&lt;Inputs!$E$13,0,Inputs!$E$14*(1+Inputs!$E$15)^(18-Inputs!$E$13)*Inputs!$E$16)))*Inputs!$E$27+(Inputs!$E$3*(1+(Inputs!$E$4*$C2))^(18-1))*Inputs!$E$30))+(((Inputs!$E$7*(1+Inputs!$E$8)^(18-1))*Inputs!$E$10))+(((((((Inputs!$E$3*(1+(Inputs!$E$4*$C2))^(18-1))*Inputs!$E$5)*Inputs!$E$6)+((Inputs!$E$7*(1+Inputs!$E$8)^(18-1))*Inputs!$E$9)+(Inputs!$E$11*(1+Inputs!$E$12)^(18-1))+(IF(18&lt;Inputs!$E$13,0,Inputs!$E$14*(1+Inputs!$E$15)^(18-Inputs!$E$13)*Inputs!$E$16))))*Inputs!$E$29))+((Inputs!$E$19+Inputs!$E$20+Inputs!$E$21+Inputs!$E$22+Inputs!$E$23))+(IF(AND(Inputs!$E$24&gt;0,18=Inputs!$E$24),Inputs!$E$25,0))+(MAX((((((((Inputs!$E$3*(1+(Inputs!$E$4*$C2))^(18-1))*Inputs!$E$5)*Inputs!$E$6)+((Inputs!$E$7*(1+Inputs!$E$8)^(18-1))*Inputs!$E$9)+(Inputs!$E$11*(1+Inputs!$E$12)^(18-1))+(IF(18&lt;Inputs!$E$13,0,Inputs!$E$14*(1+Inputs!$E$15)^(18-Inputs!$E$13)*Inputs!$E$16))))-(((((((Inputs!$E$3*(1+(Inputs!$E$4*$C2))^(18-1))*Inputs!$E$5)*Inputs!$E$6)+((Inputs!$E$7*(1+Inputs!$E$8)^(18-1))*Inputs!$E$9)+(Inputs!$E$11*(1+Inputs!$E$12)^(18-1))+(IF(18&lt;Inputs!$E$13,0,Inputs!$E$14*(1+Inputs!$E$15)^(18-Inputs!$E$13)*Inputs!$E$16))))*Inputs!$E$26+((((Inputs!$E$3*(1+(Inputs!$E$4*$C2))^(18-1))*Inputs!$E$5)*Inputs!$E$6)+((Inputs!$E$7*(1+Inputs!$E$8)^(18-1))*Inputs!$E$9)+(IF(18&lt;Inputs!$E$13,0,Inputs!$E$14*(1+Inputs!$E$15)^(18-Inputs!$E$13)*Inputs!$E$16)))*Inputs!$E$27+(Inputs!$E$3*(1+(Inputs!$E$4*$C2))^(18-1))*Inputs!$E$30))-(((Inputs!$E$7*(1+Inputs!$E$8)^(18-1))*Inputs!$E$10))-(((((((Inputs!$E$3*(1+(Inputs!$E$4*$C2))^(18-1))*Inputs!$E$5)*Inputs!$E$6)+((Inputs!$E$7*(1+Inputs!$E$8)^(18-1))*Inputs!$E$9)+(Inputs!$E$11*(1+Inputs!$E$12)^(18-1))+(IF(18&lt;Inputs!$E$13,0,Inputs!$E$14*(1+Inputs!$E$15)^(18-Inputs!$E$13)*Inputs!$E$16))))*Inputs!$E$29))-((Inputs!$E$19+Inputs!$E$20+Inputs!$E$21+Inputs!$E$22+Inputs!$E$23))-(IF(AND(Inputs!$E$24&gt;0,18=Inputs!$E$24),Inputs!$E$25,0)))),0)*Inputs!$E$28))))+(IF(AND(Inputs!$E$17&gt;0,18=Inputs!$E$17),Inputs!$E$18,0))))</f>
        <v/>
      </c>
      <c r="Y2" s="8">
        <f>X2+(((((((((Inputs!$E$3*(1+(Inputs!$E$4*$C2))^(19-1))*Inputs!$E$5)*Inputs!$E$6)+((Inputs!$E$7*(1+Inputs!$E$8)^(19-1))*Inputs!$E$9)+(Inputs!$E$11*(1+Inputs!$E$12)^(19-1))+(IF(19&lt;Inputs!$E$13,0,Inputs!$E$14*(1+Inputs!$E$15)^(19-Inputs!$E$13)*Inputs!$E$16))))-((((((((Inputs!$E$3*(1+(Inputs!$E$4*$C2))^(19-1))*Inputs!$E$5)*Inputs!$E$6)+((Inputs!$E$7*(1+Inputs!$E$8)^(19-1))*Inputs!$E$9)+(Inputs!$E$11*(1+Inputs!$E$12)^(19-1))+(IF(19&lt;Inputs!$E$13,0,Inputs!$E$14*(1+Inputs!$E$15)^(19-Inputs!$E$13)*Inputs!$E$16))))*Inputs!$E$26+((((Inputs!$E$3*(1+(Inputs!$E$4*$C2))^(19-1))*Inputs!$E$5)*Inputs!$E$6)+((Inputs!$E$7*(1+Inputs!$E$8)^(19-1))*Inputs!$E$9)+(IF(19&lt;Inputs!$E$13,0,Inputs!$E$14*(1+Inputs!$E$15)^(19-Inputs!$E$13)*Inputs!$E$16)))*Inputs!$E$27+(Inputs!$E$3*(1+(Inputs!$E$4*$C2))^(19-1))*Inputs!$E$30))+(((Inputs!$E$7*(1+Inputs!$E$8)^(19-1))*Inputs!$E$10))+(((((((Inputs!$E$3*(1+(Inputs!$E$4*$C2))^(19-1))*Inputs!$E$5)*Inputs!$E$6)+((Inputs!$E$7*(1+Inputs!$E$8)^(19-1))*Inputs!$E$9)+(Inputs!$E$11*(1+Inputs!$E$12)^(19-1))+(IF(19&lt;Inputs!$E$13,0,Inputs!$E$14*(1+Inputs!$E$15)^(19-Inputs!$E$13)*Inputs!$E$16))))*Inputs!$E$29))+((Inputs!$E$19+Inputs!$E$20+Inputs!$E$21+Inputs!$E$22+Inputs!$E$23))+(IF(AND(Inputs!$E$24&gt;0,19=Inputs!$E$24),Inputs!$E$25,0))+(MAX((((((((Inputs!$E$3*(1+(Inputs!$E$4*$C2))^(19-1))*Inputs!$E$5)*Inputs!$E$6)+((Inputs!$E$7*(1+Inputs!$E$8)^(19-1))*Inputs!$E$9)+(Inputs!$E$11*(1+Inputs!$E$12)^(19-1))+(IF(19&lt;Inputs!$E$13,0,Inputs!$E$14*(1+Inputs!$E$15)^(19-Inputs!$E$13)*Inputs!$E$16))))-(((((((Inputs!$E$3*(1+(Inputs!$E$4*$C2))^(19-1))*Inputs!$E$5)*Inputs!$E$6)+((Inputs!$E$7*(1+Inputs!$E$8)^(19-1))*Inputs!$E$9)+(Inputs!$E$11*(1+Inputs!$E$12)^(19-1))+(IF(19&lt;Inputs!$E$13,0,Inputs!$E$14*(1+Inputs!$E$15)^(19-Inputs!$E$13)*Inputs!$E$16))))*Inputs!$E$26+((((Inputs!$E$3*(1+(Inputs!$E$4*$C2))^(19-1))*Inputs!$E$5)*Inputs!$E$6)+((Inputs!$E$7*(1+Inputs!$E$8)^(19-1))*Inputs!$E$9)+(IF(19&lt;Inputs!$E$13,0,Inputs!$E$14*(1+Inputs!$E$15)^(19-Inputs!$E$13)*Inputs!$E$16)))*Inputs!$E$27+(Inputs!$E$3*(1+(Inputs!$E$4*$C2))^(19-1))*Inputs!$E$30))-(((Inputs!$E$7*(1+Inputs!$E$8)^(19-1))*Inputs!$E$10))-(((((((Inputs!$E$3*(1+(Inputs!$E$4*$C2))^(19-1))*Inputs!$E$5)*Inputs!$E$6)+((Inputs!$E$7*(1+Inputs!$E$8)^(19-1))*Inputs!$E$9)+(Inputs!$E$11*(1+Inputs!$E$12)^(19-1))+(IF(19&lt;Inputs!$E$13,0,Inputs!$E$14*(1+Inputs!$E$15)^(19-Inputs!$E$13)*Inputs!$E$16))))*Inputs!$E$29))-((Inputs!$E$19+Inputs!$E$20+Inputs!$E$21+Inputs!$E$22+Inputs!$E$23))-(IF(AND(Inputs!$E$24&gt;0,19=Inputs!$E$24),Inputs!$E$25,0)))),0)*Inputs!$E$28))))+(IF(AND(Inputs!$E$17&gt;0,19=Inputs!$E$17),Inputs!$E$18,0))))</f>
        <v/>
      </c>
      <c r="Z2" s="8">
        <f>Y2+(((((((((Inputs!$E$3*(1+(Inputs!$E$4*$C2))^(20-1))*Inputs!$E$5)*Inputs!$E$6)+((Inputs!$E$7*(1+Inputs!$E$8)^(20-1))*Inputs!$E$9)+(Inputs!$E$11*(1+Inputs!$E$12)^(20-1))+(IF(20&lt;Inputs!$E$13,0,Inputs!$E$14*(1+Inputs!$E$15)^(20-Inputs!$E$13)*Inputs!$E$16))))-((((((((Inputs!$E$3*(1+(Inputs!$E$4*$C2))^(20-1))*Inputs!$E$5)*Inputs!$E$6)+((Inputs!$E$7*(1+Inputs!$E$8)^(20-1))*Inputs!$E$9)+(Inputs!$E$11*(1+Inputs!$E$12)^(20-1))+(IF(20&lt;Inputs!$E$13,0,Inputs!$E$14*(1+Inputs!$E$15)^(20-Inputs!$E$13)*Inputs!$E$16))))*Inputs!$E$26+((((Inputs!$E$3*(1+(Inputs!$E$4*$C2))^(20-1))*Inputs!$E$5)*Inputs!$E$6)+((Inputs!$E$7*(1+Inputs!$E$8)^(20-1))*Inputs!$E$9)+(IF(20&lt;Inputs!$E$13,0,Inputs!$E$14*(1+Inputs!$E$15)^(20-Inputs!$E$13)*Inputs!$E$16)))*Inputs!$E$27+(Inputs!$E$3*(1+(Inputs!$E$4*$C2))^(20-1))*Inputs!$E$30))+(((Inputs!$E$7*(1+Inputs!$E$8)^(20-1))*Inputs!$E$10))+(((((((Inputs!$E$3*(1+(Inputs!$E$4*$C2))^(20-1))*Inputs!$E$5)*Inputs!$E$6)+((Inputs!$E$7*(1+Inputs!$E$8)^(20-1))*Inputs!$E$9)+(Inputs!$E$11*(1+Inputs!$E$12)^(20-1))+(IF(20&lt;Inputs!$E$13,0,Inputs!$E$14*(1+Inputs!$E$15)^(20-Inputs!$E$13)*Inputs!$E$16))))*Inputs!$E$29))+((Inputs!$E$19+Inputs!$E$20+Inputs!$E$21+Inputs!$E$22+Inputs!$E$23))+(IF(AND(Inputs!$E$24&gt;0,20=Inputs!$E$24),Inputs!$E$25,0))+(MAX((((((((Inputs!$E$3*(1+(Inputs!$E$4*$C2))^(20-1))*Inputs!$E$5)*Inputs!$E$6)+((Inputs!$E$7*(1+Inputs!$E$8)^(20-1))*Inputs!$E$9)+(Inputs!$E$11*(1+Inputs!$E$12)^(20-1))+(IF(20&lt;Inputs!$E$13,0,Inputs!$E$14*(1+Inputs!$E$15)^(20-Inputs!$E$13)*Inputs!$E$16))))-(((((((Inputs!$E$3*(1+(Inputs!$E$4*$C2))^(20-1))*Inputs!$E$5)*Inputs!$E$6)+((Inputs!$E$7*(1+Inputs!$E$8)^(20-1))*Inputs!$E$9)+(Inputs!$E$11*(1+Inputs!$E$12)^(20-1))+(IF(20&lt;Inputs!$E$13,0,Inputs!$E$14*(1+Inputs!$E$15)^(20-Inputs!$E$13)*Inputs!$E$16))))*Inputs!$E$26+((((Inputs!$E$3*(1+(Inputs!$E$4*$C2))^(20-1))*Inputs!$E$5)*Inputs!$E$6)+((Inputs!$E$7*(1+Inputs!$E$8)^(20-1))*Inputs!$E$9)+(IF(20&lt;Inputs!$E$13,0,Inputs!$E$14*(1+Inputs!$E$15)^(20-Inputs!$E$13)*Inputs!$E$16)))*Inputs!$E$27+(Inputs!$E$3*(1+(Inputs!$E$4*$C2))^(20-1))*Inputs!$E$30))-(((Inputs!$E$7*(1+Inputs!$E$8)^(20-1))*Inputs!$E$10))-(((((((Inputs!$E$3*(1+(Inputs!$E$4*$C2))^(20-1))*Inputs!$E$5)*Inputs!$E$6)+((Inputs!$E$7*(1+Inputs!$E$8)^(20-1))*Inputs!$E$9)+(Inputs!$E$11*(1+Inputs!$E$12)^(20-1))+(IF(20&lt;Inputs!$E$13,0,Inputs!$E$14*(1+Inputs!$E$15)^(20-Inputs!$E$13)*Inputs!$E$16))))*Inputs!$E$29))-((Inputs!$E$19+Inputs!$E$20+Inputs!$E$21+Inputs!$E$22+Inputs!$E$23))-(IF(AND(Inputs!$E$24&gt;0,20=Inputs!$E$24),Inputs!$E$25,0)))),0)*Inputs!$E$28))))+(IF(AND(Inputs!$E$17&gt;0,20=Inputs!$E$17),Inputs!$E$18,0))))</f>
        <v/>
      </c>
      <c r="AA2" s="8">
        <f>Z2+(((((((((Inputs!$E$3*(1+(Inputs!$E$4*$C2))^(21-1))*Inputs!$E$5)*Inputs!$E$6)+((Inputs!$E$7*(1+Inputs!$E$8)^(21-1))*Inputs!$E$9)+(Inputs!$E$11*(1+Inputs!$E$12)^(21-1))+(IF(21&lt;Inputs!$E$13,0,Inputs!$E$14*(1+Inputs!$E$15)^(21-Inputs!$E$13)*Inputs!$E$16))))-((((((((Inputs!$E$3*(1+(Inputs!$E$4*$C2))^(21-1))*Inputs!$E$5)*Inputs!$E$6)+((Inputs!$E$7*(1+Inputs!$E$8)^(21-1))*Inputs!$E$9)+(Inputs!$E$11*(1+Inputs!$E$12)^(21-1))+(IF(21&lt;Inputs!$E$13,0,Inputs!$E$14*(1+Inputs!$E$15)^(21-Inputs!$E$13)*Inputs!$E$16))))*Inputs!$E$26+((((Inputs!$E$3*(1+(Inputs!$E$4*$C2))^(21-1))*Inputs!$E$5)*Inputs!$E$6)+((Inputs!$E$7*(1+Inputs!$E$8)^(21-1))*Inputs!$E$9)+(IF(21&lt;Inputs!$E$13,0,Inputs!$E$14*(1+Inputs!$E$15)^(21-Inputs!$E$13)*Inputs!$E$16)))*Inputs!$E$27+(Inputs!$E$3*(1+(Inputs!$E$4*$C2))^(21-1))*Inputs!$E$30))+(((Inputs!$E$7*(1+Inputs!$E$8)^(21-1))*Inputs!$E$10))+(((((((Inputs!$E$3*(1+(Inputs!$E$4*$C2))^(21-1))*Inputs!$E$5)*Inputs!$E$6)+((Inputs!$E$7*(1+Inputs!$E$8)^(21-1))*Inputs!$E$9)+(Inputs!$E$11*(1+Inputs!$E$12)^(21-1))+(IF(21&lt;Inputs!$E$13,0,Inputs!$E$14*(1+Inputs!$E$15)^(21-Inputs!$E$13)*Inputs!$E$16))))*Inputs!$E$29))+((Inputs!$E$19+Inputs!$E$20+Inputs!$E$21+Inputs!$E$22+Inputs!$E$23))+(IF(AND(Inputs!$E$24&gt;0,21=Inputs!$E$24),Inputs!$E$25,0))+(MAX((((((((Inputs!$E$3*(1+(Inputs!$E$4*$C2))^(21-1))*Inputs!$E$5)*Inputs!$E$6)+((Inputs!$E$7*(1+Inputs!$E$8)^(21-1))*Inputs!$E$9)+(Inputs!$E$11*(1+Inputs!$E$12)^(21-1))+(IF(21&lt;Inputs!$E$13,0,Inputs!$E$14*(1+Inputs!$E$15)^(21-Inputs!$E$13)*Inputs!$E$16))))-(((((((Inputs!$E$3*(1+(Inputs!$E$4*$C2))^(21-1))*Inputs!$E$5)*Inputs!$E$6)+((Inputs!$E$7*(1+Inputs!$E$8)^(21-1))*Inputs!$E$9)+(Inputs!$E$11*(1+Inputs!$E$12)^(21-1))+(IF(21&lt;Inputs!$E$13,0,Inputs!$E$14*(1+Inputs!$E$15)^(21-Inputs!$E$13)*Inputs!$E$16))))*Inputs!$E$26+((((Inputs!$E$3*(1+(Inputs!$E$4*$C2))^(21-1))*Inputs!$E$5)*Inputs!$E$6)+((Inputs!$E$7*(1+Inputs!$E$8)^(21-1))*Inputs!$E$9)+(IF(21&lt;Inputs!$E$13,0,Inputs!$E$14*(1+Inputs!$E$15)^(21-Inputs!$E$13)*Inputs!$E$16)))*Inputs!$E$27+(Inputs!$E$3*(1+(Inputs!$E$4*$C2))^(21-1))*Inputs!$E$30))-(((Inputs!$E$7*(1+Inputs!$E$8)^(21-1))*Inputs!$E$10))-(((((((Inputs!$E$3*(1+(Inputs!$E$4*$C2))^(21-1))*Inputs!$E$5)*Inputs!$E$6)+((Inputs!$E$7*(1+Inputs!$E$8)^(21-1))*Inputs!$E$9)+(Inputs!$E$11*(1+Inputs!$E$12)^(21-1))+(IF(21&lt;Inputs!$E$13,0,Inputs!$E$14*(1+Inputs!$E$15)^(21-Inputs!$E$13)*Inputs!$E$16))))*Inputs!$E$29))-((Inputs!$E$19+Inputs!$E$20+Inputs!$E$21+Inputs!$E$22+Inputs!$E$23))-(IF(AND(Inputs!$E$24&gt;0,21=Inputs!$E$24),Inputs!$E$25,0)))),0)*Inputs!$E$28))))+(IF(AND(Inputs!$E$17&gt;0,21=Inputs!$E$17),Inputs!$E$18,0))))</f>
        <v/>
      </c>
      <c r="AB2" s="8">
        <f>AA2+(((((((((Inputs!$E$3*(1+(Inputs!$E$4*$C2))^(22-1))*Inputs!$E$5)*Inputs!$E$6)+((Inputs!$E$7*(1+Inputs!$E$8)^(22-1))*Inputs!$E$9)+(Inputs!$E$11*(1+Inputs!$E$12)^(22-1))+(IF(22&lt;Inputs!$E$13,0,Inputs!$E$14*(1+Inputs!$E$15)^(22-Inputs!$E$13)*Inputs!$E$16))))-((((((((Inputs!$E$3*(1+(Inputs!$E$4*$C2))^(22-1))*Inputs!$E$5)*Inputs!$E$6)+((Inputs!$E$7*(1+Inputs!$E$8)^(22-1))*Inputs!$E$9)+(Inputs!$E$11*(1+Inputs!$E$12)^(22-1))+(IF(22&lt;Inputs!$E$13,0,Inputs!$E$14*(1+Inputs!$E$15)^(22-Inputs!$E$13)*Inputs!$E$16))))*Inputs!$E$26+((((Inputs!$E$3*(1+(Inputs!$E$4*$C2))^(22-1))*Inputs!$E$5)*Inputs!$E$6)+((Inputs!$E$7*(1+Inputs!$E$8)^(22-1))*Inputs!$E$9)+(IF(22&lt;Inputs!$E$13,0,Inputs!$E$14*(1+Inputs!$E$15)^(22-Inputs!$E$13)*Inputs!$E$16)))*Inputs!$E$27+(Inputs!$E$3*(1+(Inputs!$E$4*$C2))^(22-1))*Inputs!$E$30))+(((Inputs!$E$7*(1+Inputs!$E$8)^(22-1))*Inputs!$E$10))+(((((((Inputs!$E$3*(1+(Inputs!$E$4*$C2))^(22-1))*Inputs!$E$5)*Inputs!$E$6)+((Inputs!$E$7*(1+Inputs!$E$8)^(22-1))*Inputs!$E$9)+(Inputs!$E$11*(1+Inputs!$E$12)^(22-1))+(IF(22&lt;Inputs!$E$13,0,Inputs!$E$14*(1+Inputs!$E$15)^(22-Inputs!$E$13)*Inputs!$E$16))))*Inputs!$E$29))+((Inputs!$E$19+Inputs!$E$20+Inputs!$E$21+Inputs!$E$22+Inputs!$E$23))+(IF(AND(Inputs!$E$24&gt;0,22=Inputs!$E$24),Inputs!$E$25,0))+(MAX((((((((Inputs!$E$3*(1+(Inputs!$E$4*$C2))^(22-1))*Inputs!$E$5)*Inputs!$E$6)+((Inputs!$E$7*(1+Inputs!$E$8)^(22-1))*Inputs!$E$9)+(Inputs!$E$11*(1+Inputs!$E$12)^(22-1))+(IF(22&lt;Inputs!$E$13,0,Inputs!$E$14*(1+Inputs!$E$15)^(22-Inputs!$E$13)*Inputs!$E$16))))-(((((((Inputs!$E$3*(1+(Inputs!$E$4*$C2))^(22-1))*Inputs!$E$5)*Inputs!$E$6)+((Inputs!$E$7*(1+Inputs!$E$8)^(22-1))*Inputs!$E$9)+(Inputs!$E$11*(1+Inputs!$E$12)^(22-1))+(IF(22&lt;Inputs!$E$13,0,Inputs!$E$14*(1+Inputs!$E$15)^(22-Inputs!$E$13)*Inputs!$E$16))))*Inputs!$E$26+((((Inputs!$E$3*(1+(Inputs!$E$4*$C2))^(22-1))*Inputs!$E$5)*Inputs!$E$6)+((Inputs!$E$7*(1+Inputs!$E$8)^(22-1))*Inputs!$E$9)+(IF(22&lt;Inputs!$E$13,0,Inputs!$E$14*(1+Inputs!$E$15)^(22-Inputs!$E$13)*Inputs!$E$16)))*Inputs!$E$27+(Inputs!$E$3*(1+(Inputs!$E$4*$C2))^(22-1))*Inputs!$E$30))-(((Inputs!$E$7*(1+Inputs!$E$8)^(22-1))*Inputs!$E$10))-(((((((Inputs!$E$3*(1+(Inputs!$E$4*$C2))^(22-1))*Inputs!$E$5)*Inputs!$E$6)+((Inputs!$E$7*(1+Inputs!$E$8)^(22-1))*Inputs!$E$9)+(Inputs!$E$11*(1+Inputs!$E$12)^(22-1))+(IF(22&lt;Inputs!$E$13,0,Inputs!$E$14*(1+Inputs!$E$15)^(22-Inputs!$E$13)*Inputs!$E$16))))*Inputs!$E$29))-((Inputs!$E$19+Inputs!$E$20+Inputs!$E$21+Inputs!$E$22+Inputs!$E$23))-(IF(AND(Inputs!$E$24&gt;0,22=Inputs!$E$24),Inputs!$E$25,0)))),0)*Inputs!$E$28))))+(IF(AND(Inputs!$E$17&gt;0,22=Inputs!$E$17),Inputs!$E$18,0))))</f>
        <v/>
      </c>
      <c r="AC2" s="8">
        <f>AB2+(((((((((Inputs!$E$3*(1+(Inputs!$E$4*$C2))^(23-1))*Inputs!$E$5)*Inputs!$E$6)+((Inputs!$E$7*(1+Inputs!$E$8)^(23-1))*Inputs!$E$9)+(Inputs!$E$11*(1+Inputs!$E$12)^(23-1))+(IF(23&lt;Inputs!$E$13,0,Inputs!$E$14*(1+Inputs!$E$15)^(23-Inputs!$E$13)*Inputs!$E$16))))-((((((((Inputs!$E$3*(1+(Inputs!$E$4*$C2))^(23-1))*Inputs!$E$5)*Inputs!$E$6)+((Inputs!$E$7*(1+Inputs!$E$8)^(23-1))*Inputs!$E$9)+(Inputs!$E$11*(1+Inputs!$E$12)^(23-1))+(IF(23&lt;Inputs!$E$13,0,Inputs!$E$14*(1+Inputs!$E$15)^(23-Inputs!$E$13)*Inputs!$E$16))))*Inputs!$E$26+((((Inputs!$E$3*(1+(Inputs!$E$4*$C2))^(23-1))*Inputs!$E$5)*Inputs!$E$6)+((Inputs!$E$7*(1+Inputs!$E$8)^(23-1))*Inputs!$E$9)+(IF(23&lt;Inputs!$E$13,0,Inputs!$E$14*(1+Inputs!$E$15)^(23-Inputs!$E$13)*Inputs!$E$16)))*Inputs!$E$27+(Inputs!$E$3*(1+(Inputs!$E$4*$C2))^(23-1))*Inputs!$E$30))+(((Inputs!$E$7*(1+Inputs!$E$8)^(23-1))*Inputs!$E$10))+(((((((Inputs!$E$3*(1+(Inputs!$E$4*$C2))^(23-1))*Inputs!$E$5)*Inputs!$E$6)+((Inputs!$E$7*(1+Inputs!$E$8)^(23-1))*Inputs!$E$9)+(Inputs!$E$11*(1+Inputs!$E$12)^(23-1))+(IF(23&lt;Inputs!$E$13,0,Inputs!$E$14*(1+Inputs!$E$15)^(23-Inputs!$E$13)*Inputs!$E$16))))*Inputs!$E$29))+((Inputs!$E$19+Inputs!$E$20+Inputs!$E$21+Inputs!$E$22+Inputs!$E$23))+(IF(AND(Inputs!$E$24&gt;0,23=Inputs!$E$24),Inputs!$E$25,0))+(MAX((((((((Inputs!$E$3*(1+(Inputs!$E$4*$C2))^(23-1))*Inputs!$E$5)*Inputs!$E$6)+((Inputs!$E$7*(1+Inputs!$E$8)^(23-1))*Inputs!$E$9)+(Inputs!$E$11*(1+Inputs!$E$12)^(23-1))+(IF(23&lt;Inputs!$E$13,0,Inputs!$E$14*(1+Inputs!$E$15)^(23-Inputs!$E$13)*Inputs!$E$16))))-(((((((Inputs!$E$3*(1+(Inputs!$E$4*$C2))^(23-1))*Inputs!$E$5)*Inputs!$E$6)+((Inputs!$E$7*(1+Inputs!$E$8)^(23-1))*Inputs!$E$9)+(Inputs!$E$11*(1+Inputs!$E$12)^(23-1))+(IF(23&lt;Inputs!$E$13,0,Inputs!$E$14*(1+Inputs!$E$15)^(23-Inputs!$E$13)*Inputs!$E$16))))*Inputs!$E$26+((((Inputs!$E$3*(1+(Inputs!$E$4*$C2))^(23-1))*Inputs!$E$5)*Inputs!$E$6)+((Inputs!$E$7*(1+Inputs!$E$8)^(23-1))*Inputs!$E$9)+(IF(23&lt;Inputs!$E$13,0,Inputs!$E$14*(1+Inputs!$E$15)^(23-Inputs!$E$13)*Inputs!$E$16)))*Inputs!$E$27+(Inputs!$E$3*(1+(Inputs!$E$4*$C2))^(23-1))*Inputs!$E$30))-(((Inputs!$E$7*(1+Inputs!$E$8)^(23-1))*Inputs!$E$10))-(((((((Inputs!$E$3*(1+(Inputs!$E$4*$C2))^(23-1))*Inputs!$E$5)*Inputs!$E$6)+((Inputs!$E$7*(1+Inputs!$E$8)^(23-1))*Inputs!$E$9)+(Inputs!$E$11*(1+Inputs!$E$12)^(23-1))+(IF(23&lt;Inputs!$E$13,0,Inputs!$E$14*(1+Inputs!$E$15)^(23-Inputs!$E$13)*Inputs!$E$16))))*Inputs!$E$29))-((Inputs!$E$19+Inputs!$E$20+Inputs!$E$21+Inputs!$E$22+Inputs!$E$23))-(IF(AND(Inputs!$E$24&gt;0,23=Inputs!$E$24),Inputs!$E$25,0)))),0)*Inputs!$E$28))))+(IF(AND(Inputs!$E$17&gt;0,23=Inputs!$E$17),Inputs!$E$18,0))))</f>
        <v/>
      </c>
      <c r="AD2" s="8">
        <f>AC2+(((((((((Inputs!$E$3*(1+(Inputs!$E$4*$C2))^(24-1))*Inputs!$E$5)*Inputs!$E$6)+((Inputs!$E$7*(1+Inputs!$E$8)^(24-1))*Inputs!$E$9)+(Inputs!$E$11*(1+Inputs!$E$12)^(24-1))+(IF(24&lt;Inputs!$E$13,0,Inputs!$E$14*(1+Inputs!$E$15)^(24-Inputs!$E$13)*Inputs!$E$16))))-((((((((Inputs!$E$3*(1+(Inputs!$E$4*$C2))^(24-1))*Inputs!$E$5)*Inputs!$E$6)+((Inputs!$E$7*(1+Inputs!$E$8)^(24-1))*Inputs!$E$9)+(Inputs!$E$11*(1+Inputs!$E$12)^(24-1))+(IF(24&lt;Inputs!$E$13,0,Inputs!$E$14*(1+Inputs!$E$15)^(24-Inputs!$E$13)*Inputs!$E$16))))*Inputs!$E$26+((((Inputs!$E$3*(1+(Inputs!$E$4*$C2))^(24-1))*Inputs!$E$5)*Inputs!$E$6)+((Inputs!$E$7*(1+Inputs!$E$8)^(24-1))*Inputs!$E$9)+(IF(24&lt;Inputs!$E$13,0,Inputs!$E$14*(1+Inputs!$E$15)^(24-Inputs!$E$13)*Inputs!$E$16)))*Inputs!$E$27+(Inputs!$E$3*(1+(Inputs!$E$4*$C2))^(24-1))*Inputs!$E$30))+(((Inputs!$E$7*(1+Inputs!$E$8)^(24-1))*Inputs!$E$10))+(((((((Inputs!$E$3*(1+(Inputs!$E$4*$C2))^(24-1))*Inputs!$E$5)*Inputs!$E$6)+((Inputs!$E$7*(1+Inputs!$E$8)^(24-1))*Inputs!$E$9)+(Inputs!$E$11*(1+Inputs!$E$12)^(24-1))+(IF(24&lt;Inputs!$E$13,0,Inputs!$E$14*(1+Inputs!$E$15)^(24-Inputs!$E$13)*Inputs!$E$16))))*Inputs!$E$29))+((Inputs!$E$19+Inputs!$E$20+Inputs!$E$21+Inputs!$E$22+Inputs!$E$23))+(IF(AND(Inputs!$E$24&gt;0,24=Inputs!$E$24),Inputs!$E$25,0))+(MAX((((((((Inputs!$E$3*(1+(Inputs!$E$4*$C2))^(24-1))*Inputs!$E$5)*Inputs!$E$6)+((Inputs!$E$7*(1+Inputs!$E$8)^(24-1))*Inputs!$E$9)+(Inputs!$E$11*(1+Inputs!$E$12)^(24-1))+(IF(24&lt;Inputs!$E$13,0,Inputs!$E$14*(1+Inputs!$E$15)^(24-Inputs!$E$13)*Inputs!$E$16))))-(((((((Inputs!$E$3*(1+(Inputs!$E$4*$C2))^(24-1))*Inputs!$E$5)*Inputs!$E$6)+((Inputs!$E$7*(1+Inputs!$E$8)^(24-1))*Inputs!$E$9)+(Inputs!$E$11*(1+Inputs!$E$12)^(24-1))+(IF(24&lt;Inputs!$E$13,0,Inputs!$E$14*(1+Inputs!$E$15)^(24-Inputs!$E$13)*Inputs!$E$16))))*Inputs!$E$26+((((Inputs!$E$3*(1+(Inputs!$E$4*$C2))^(24-1))*Inputs!$E$5)*Inputs!$E$6)+((Inputs!$E$7*(1+Inputs!$E$8)^(24-1))*Inputs!$E$9)+(IF(24&lt;Inputs!$E$13,0,Inputs!$E$14*(1+Inputs!$E$15)^(24-Inputs!$E$13)*Inputs!$E$16)))*Inputs!$E$27+(Inputs!$E$3*(1+(Inputs!$E$4*$C2))^(24-1))*Inputs!$E$30))-(((Inputs!$E$7*(1+Inputs!$E$8)^(24-1))*Inputs!$E$10))-(((((((Inputs!$E$3*(1+(Inputs!$E$4*$C2))^(24-1))*Inputs!$E$5)*Inputs!$E$6)+((Inputs!$E$7*(1+Inputs!$E$8)^(24-1))*Inputs!$E$9)+(Inputs!$E$11*(1+Inputs!$E$12)^(24-1))+(IF(24&lt;Inputs!$E$13,0,Inputs!$E$14*(1+Inputs!$E$15)^(24-Inputs!$E$13)*Inputs!$E$16))))*Inputs!$E$29))-((Inputs!$E$19+Inputs!$E$20+Inputs!$E$21+Inputs!$E$22+Inputs!$E$23))-(IF(AND(Inputs!$E$24&gt;0,24=Inputs!$E$24),Inputs!$E$25,0)))),0)*Inputs!$E$28))))+(IF(AND(Inputs!$E$17&gt;0,24=Inputs!$E$17),Inputs!$E$18,0))))</f>
        <v/>
      </c>
      <c r="AE2" s="8">
        <f>AD2+(((((((((Inputs!$E$3*(1+(Inputs!$E$4*$C2))^(25-1))*Inputs!$E$5)*Inputs!$E$6)+((Inputs!$E$7*(1+Inputs!$E$8)^(25-1))*Inputs!$E$9)+(Inputs!$E$11*(1+Inputs!$E$12)^(25-1))+(IF(25&lt;Inputs!$E$13,0,Inputs!$E$14*(1+Inputs!$E$15)^(25-Inputs!$E$13)*Inputs!$E$16))))-((((((((Inputs!$E$3*(1+(Inputs!$E$4*$C2))^(25-1))*Inputs!$E$5)*Inputs!$E$6)+((Inputs!$E$7*(1+Inputs!$E$8)^(25-1))*Inputs!$E$9)+(Inputs!$E$11*(1+Inputs!$E$12)^(25-1))+(IF(25&lt;Inputs!$E$13,0,Inputs!$E$14*(1+Inputs!$E$15)^(25-Inputs!$E$13)*Inputs!$E$16))))*Inputs!$E$26+((((Inputs!$E$3*(1+(Inputs!$E$4*$C2))^(25-1))*Inputs!$E$5)*Inputs!$E$6)+((Inputs!$E$7*(1+Inputs!$E$8)^(25-1))*Inputs!$E$9)+(IF(25&lt;Inputs!$E$13,0,Inputs!$E$14*(1+Inputs!$E$15)^(25-Inputs!$E$13)*Inputs!$E$16)))*Inputs!$E$27+(Inputs!$E$3*(1+(Inputs!$E$4*$C2))^(25-1))*Inputs!$E$30))+(((Inputs!$E$7*(1+Inputs!$E$8)^(25-1))*Inputs!$E$10))+(((((((Inputs!$E$3*(1+(Inputs!$E$4*$C2))^(25-1))*Inputs!$E$5)*Inputs!$E$6)+((Inputs!$E$7*(1+Inputs!$E$8)^(25-1))*Inputs!$E$9)+(Inputs!$E$11*(1+Inputs!$E$12)^(25-1))+(IF(25&lt;Inputs!$E$13,0,Inputs!$E$14*(1+Inputs!$E$15)^(25-Inputs!$E$13)*Inputs!$E$16))))*Inputs!$E$29))+((Inputs!$E$19+Inputs!$E$20+Inputs!$E$21+Inputs!$E$22+Inputs!$E$23))+(IF(AND(Inputs!$E$24&gt;0,25=Inputs!$E$24),Inputs!$E$25,0))+(MAX((((((((Inputs!$E$3*(1+(Inputs!$E$4*$C2))^(25-1))*Inputs!$E$5)*Inputs!$E$6)+((Inputs!$E$7*(1+Inputs!$E$8)^(25-1))*Inputs!$E$9)+(Inputs!$E$11*(1+Inputs!$E$12)^(25-1))+(IF(25&lt;Inputs!$E$13,0,Inputs!$E$14*(1+Inputs!$E$15)^(25-Inputs!$E$13)*Inputs!$E$16))))-(((((((Inputs!$E$3*(1+(Inputs!$E$4*$C2))^(25-1))*Inputs!$E$5)*Inputs!$E$6)+((Inputs!$E$7*(1+Inputs!$E$8)^(25-1))*Inputs!$E$9)+(Inputs!$E$11*(1+Inputs!$E$12)^(25-1))+(IF(25&lt;Inputs!$E$13,0,Inputs!$E$14*(1+Inputs!$E$15)^(25-Inputs!$E$13)*Inputs!$E$16))))*Inputs!$E$26+((((Inputs!$E$3*(1+(Inputs!$E$4*$C2))^(25-1))*Inputs!$E$5)*Inputs!$E$6)+((Inputs!$E$7*(1+Inputs!$E$8)^(25-1))*Inputs!$E$9)+(IF(25&lt;Inputs!$E$13,0,Inputs!$E$14*(1+Inputs!$E$15)^(25-Inputs!$E$13)*Inputs!$E$16)))*Inputs!$E$27+(Inputs!$E$3*(1+(Inputs!$E$4*$C2))^(25-1))*Inputs!$E$30))-(((Inputs!$E$7*(1+Inputs!$E$8)^(25-1))*Inputs!$E$10))-(((((((Inputs!$E$3*(1+(Inputs!$E$4*$C2))^(25-1))*Inputs!$E$5)*Inputs!$E$6)+((Inputs!$E$7*(1+Inputs!$E$8)^(25-1))*Inputs!$E$9)+(Inputs!$E$11*(1+Inputs!$E$12)^(25-1))+(IF(25&lt;Inputs!$E$13,0,Inputs!$E$14*(1+Inputs!$E$15)^(25-Inputs!$E$13)*Inputs!$E$16))))*Inputs!$E$29))-((Inputs!$E$19+Inputs!$E$20+Inputs!$E$21+Inputs!$E$22+Inputs!$E$23))-(IF(AND(Inputs!$E$24&gt;0,25=Inputs!$E$24),Inputs!$E$25,0)))),0)*Inputs!$E$28))))+(IF(AND(Inputs!$E$17&gt;0,25=Inputs!$E$17),Inputs!$E$18,0))))</f>
        <v/>
      </c>
      <c r="AF2" s="8">
        <f>AE2+(((((((((Inputs!$E$3*(1+(Inputs!$E$4*$C2))^(26-1))*Inputs!$E$5)*Inputs!$E$6)+((Inputs!$E$7*(1+Inputs!$E$8)^(26-1))*Inputs!$E$9)+(Inputs!$E$11*(1+Inputs!$E$12)^(26-1))+(IF(26&lt;Inputs!$E$13,0,Inputs!$E$14*(1+Inputs!$E$15)^(26-Inputs!$E$13)*Inputs!$E$16))))-((((((((Inputs!$E$3*(1+(Inputs!$E$4*$C2))^(26-1))*Inputs!$E$5)*Inputs!$E$6)+((Inputs!$E$7*(1+Inputs!$E$8)^(26-1))*Inputs!$E$9)+(Inputs!$E$11*(1+Inputs!$E$12)^(26-1))+(IF(26&lt;Inputs!$E$13,0,Inputs!$E$14*(1+Inputs!$E$15)^(26-Inputs!$E$13)*Inputs!$E$16))))*Inputs!$E$26+((((Inputs!$E$3*(1+(Inputs!$E$4*$C2))^(26-1))*Inputs!$E$5)*Inputs!$E$6)+((Inputs!$E$7*(1+Inputs!$E$8)^(26-1))*Inputs!$E$9)+(IF(26&lt;Inputs!$E$13,0,Inputs!$E$14*(1+Inputs!$E$15)^(26-Inputs!$E$13)*Inputs!$E$16)))*Inputs!$E$27+(Inputs!$E$3*(1+(Inputs!$E$4*$C2))^(26-1))*Inputs!$E$30))+(((Inputs!$E$7*(1+Inputs!$E$8)^(26-1))*Inputs!$E$10))+(((((((Inputs!$E$3*(1+(Inputs!$E$4*$C2))^(26-1))*Inputs!$E$5)*Inputs!$E$6)+((Inputs!$E$7*(1+Inputs!$E$8)^(26-1))*Inputs!$E$9)+(Inputs!$E$11*(1+Inputs!$E$12)^(26-1))+(IF(26&lt;Inputs!$E$13,0,Inputs!$E$14*(1+Inputs!$E$15)^(26-Inputs!$E$13)*Inputs!$E$16))))*Inputs!$E$29))+((Inputs!$E$19+Inputs!$E$20+Inputs!$E$21+Inputs!$E$22+Inputs!$E$23))+(IF(AND(Inputs!$E$24&gt;0,26=Inputs!$E$24),Inputs!$E$25,0))+(MAX((((((((Inputs!$E$3*(1+(Inputs!$E$4*$C2))^(26-1))*Inputs!$E$5)*Inputs!$E$6)+((Inputs!$E$7*(1+Inputs!$E$8)^(26-1))*Inputs!$E$9)+(Inputs!$E$11*(1+Inputs!$E$12)^(26-1))+(IF(26&lt;Inputs!$E$13,0,Inputs!$E$14*(1+Inputs!$E$15)^(26-Inputs!$E$13)*Inputs!$E$16))))-(((((((Inputs!$E$3*(1+(Inputs!$E$4*$C2))^(26-1))*Inputs!$E$5)*Inputs!$E$6)+((Inputs!$E$7*(1+Inputs!$E$8)^(26-1))*Inputs!$E$9)+(Inputs!$E$11*(1+Inputs!$E$12)^(26-1))+(IF(26&lt;Inputs!$E$13,0,Inputs!$E$14*(1+Inputs!$E$15)^(26-Inputs!$E$13)*Inputs!$E$16))))*Inputs!$E$26+((((Inputs!$E$3*(1+(Inputs!$E$4*$C2))^(26-1))*Inputs!$E$5)*Inputs!$E$6)+((Inputs!$E$7*(1+Inputs!$E$8)^(26-1))*Inputs!$E$9)+(IF(26&lt;Inputs!$E$13,0,Inputs!$E$14*(1+Inputs!$E$15)^(26-Inputs!$E$13)*Inputs!$E$16)))*Inputs!$E$27+(Inputs!$E$3*(1+(Inputs!$E$4*$C2))^(26-1))*Inputs!$E$30))-(((Inputs!$E$7*(1+Inputs!$E$8)^(26-1))*Inputs!$E$10))-(((((((Inputs!$E$3*(1+(Inputs!$E$4*$C2))^(26-1))*Inputs!$E$5)*Inputs!$E$6)+((Inputs!$E$7*(1+Inputs!$E$8)^(26-1))*Inputs!$E$9)+(Inputs!$E$11*(1+Inputs!$E$12)^(26-1))+(IF(26&lt;Inputs!$E$13,0,Inputs!$E$14*(1+Inputs!$E$15)^(26-Inputs!$E$13)*Inputs!$E$16))))*Inputs!$E$29))-((Inputs!$E$19+Inputs!$E$20+Inputs!$E$21+Inputs!$E$22+Inputs!$E$23))-(IF(AND(Inputs!$E$24&gt;0,26=Inputs!$E$24),Inputs!$E$25,0)))),0)*Inputs!$E$28))))+(IF(AND(Inputs!$E$17&gt;0,26=Inputs!$E$17),Inputs!$E$18,0))))</f>
        <v/>
      </c>
      <c r="AG2" s="8">
        <f>AF2+(((((((((Inputs!$E$3*(1+(Inputs!$E$4*$C2))^(27-1))*Inputs!$E$5)*Inputs!$E$6)+((Inputs!$E$7*(1+Inputs!$E$8)^(27-1))*Inputs!$E$9)+(Inputs!$E$11*(1+Inputs!$E$12)^(27-1))+(IF(27&lt;Inputs!$E$13,0,Inputs!$E$14*(1+Inputs!$E$15)^(27-Inputs!$E$13)*Inputs!$E$16))))-((((((((Inputs!$E$3*(1+(Inputs!$E$4*$C2))^(27-1))*Inputs!$E$5)*Inputs!$E$6)+((Inputs!$E$7*(1+Inputs!$E$8)^(27-1))*Inputs!$E$9)+(Inputs!$E$11*(1+Inputs!$E$12)^(27-1))+(IF(27&lt;Inputs!$E$13,0,Inputs!$E$14*(1+Inputs!$E$15)^(27-Inputs!$E$13)*Inputs!$E$16))))*Inputs!$E$26+((((Inputs!$E$3*(1+(Inputs!$E$4*$C2))^(27-1))*Inputs!$E$5)*Inputs!$E$6)+((Inputs!$E$7*(1+Inputs!$E$8)^(27-1))*Inputs!$E$9)+(IF(27&lt;Inputs!$E$13,0,Inputs!$E$14*(1+Inputs!$E$15)^(27-Inputs!$E$13)*Inputs!$E$16)))*Inputs!$E$27+(Inputs!$E$3*(1+(Inputs!$E$4*$C2))^(27-1))*Inputs!$E$30))+(((Inputs!$E$7*(1+Inputs!$E$8)^(27-1))*Inputs!$E$10))+(((((((Inputs!$E$3*(1+(Inputs!$E$4*$C2))^(27-1))*Inputs!$E$5)*Inputs!$E$6)+((Inputs!$E$7*(1+Inputs!$E$8)^(27-1))*Inputs!$E$9)+(Inputs!$E$11*(1+Inputs!$E$12)^(27-1))+(IF(27&lt;Inputs!$E$13,0,Inputs!$E$14*(1+Inputs!$E$15)^(27-Inputs!$E$13)*Inputs!$E$16))))*Inputs!$E$29))+((Inputs!$E$19+Inputs!$E$20+Inputs!$E$21+Inputs!$E$22+Inputs!$E$23))+(IF(AND(Inputs!$E$24&gt;0,27=Inputs!$E$24),Inputs!$E$25,0))+(MAX((((((((Inputs!$E$3*(1+(Inputs!$E$4*$C2))^(27-1))*Inputs!$E$5)*Inputs!$E$6)+((Inputs!$E$7*(1+Inputs!$E$8)^(27-1))*Inputs!$E$9)+(Inputs!$E$11*(1+Inputs!$E$12)^(27-1))+(IF(27&lt;Inputs!$E$13,0,Inputs!$E$14*(1+Inputs!$E$15)^(27-Inputs!$E$13)*Inputs!$E$16))))-(((((((Inputs!$E$3*(1+(Inputs!$E$4*$C2))^(27-1))*Inputs!$E$5)*Inputs!$E$6)+((Inputs!$E$7*(1+Inputs!$E$8)^(27-1))*Inputs!$E$9)+(Inputs!$E$11*(1+Inputs!$E$12)^(27-1))+(IF(27&lt;Inputs!$E$13,0,Inputs!$E$14*(1+Inputs!$E$15)^(27-Inputs!$E$13)*Inputs!$E$16))))*Inputs!$E$26+((((Inputs!$E$3*(1+(Inputs!$E$4*$C2))^(27-1))*Inputs!$E$5)*Inputs!$E$6)+((Inputs!$E$7*(1+Inputs!$E$8)^(27-1))*Inputs!$E$9)+(IF(27&lt;Inputs!$E$13,0,Inputs!$E$14*(1+Inputs!$E$15)^(27-Inputs!$E$13)*Inputs!$E$16)))*Inputs!$E$27+(Inputs!$E$3*(1+(Inputs!$E$4*$C2))^(27-1))*Inputs!$E$30))-(((Inputs!$E$7*(1+Inputs!$E$8)^(27-1))*Inputs!$E$10))-(((((((Inputs!$E$3*(1+(Inputs!$E$4*$C2))^(27-1))*Inputs!$E$5)*Inputs!$E$6)+((Inputs!$E$7*(1+Inputs!$E$8)^(27-1))*Inputs!$E$9)+(Inputs!$E$11*(1+Inputs!$E$12)^(27-1))+(IF(27&lt;Inputs!$E$13,0,Inputs!$E$14*(1+Inputs!$E$15)^(27-Inputs!$E$13)*Inputs!$E$16))))*Inputs!$E$29))-((Inputs!$E$19+Inputs!$E$20+Inputs!$E$21+Inputs!$E$22+Inputs!$E$23))-(IF(AND(Inputs!$E$24&gt;0,27=Inputs!$E$24),Inputs!$E$25,0)))),0)*Inputs!$E$28))))+(IF(AND(Inputs!$E$17&gt;0,27=Inputs!$E$17),Inputs!$E$18,0))))</f>
        <v/>
      </c>
      <c r="AH2" s="8">
        <f>AG2+(((((((((Inputs!$E$3*(1+(Inputs!$E$4*$C2))^(28-1))*Inputs!$E$5)*Inputs!$E$6)+((Inputs!$E$7*(1+Inputs!$E$8)^(28-1))*Inputs!$E$9)+(Inputs!$E$11*(1+Inputs!$E$12)^(28-1))+(IF(28&lt;Inputs!$E$13,0,Inputs!$E$14*(1+Inputs!$E$15)^(28-Inputs!$E$13)*Inputs!$E$16))))-((((((((Inputs!$E$3*(1+(Inputs!$E$4*$C2))^(28-1))*Inputs!$E$5)*Inputs!$E$6)+((Inputs!$E$7*(1+Inputs!$E$8)^(28-1))*Inputs!$E$9)+(Inputs!$E$11*(1+Inputs!$E$12)^(28-1))+(IF(28&lt;Inputs!$E$13,0,Inputs!$E$14*(1+Inputs!$E$15)^(28-Inputs!$E$13)*Inputs!$E$16))))*Inputs!$E$26+((((Inputs!$E$3*(1+(Inputs!$E$4*$C2))^(28-1))*Inputs!$E$5)*Inputs!$E$6)+((Inputs!$E$7*(1+Inputs!$E$8)^(28-1))*Inputs!$E$9)+(IF(28&lt;Inputs!$E$13,0,Inputs!$E$14*(1+Inputs!$E$15)^(28-Inputs!$E$13)*Inputs!$E$16)))*Inputs!$E$27+(Inputs!$E$3*(1+(Inputs!$E$4*$C2))^(28-1))*Inputs!$E$30))+(((Inputs!$E$7*(1+Inputs!$E$8)^(28-1))*Inputs!$E$10))+(((((((Inputs!$E$3*(1+(Inputs!$E$4*$C2))^(28-1))*Inputs!$E$5)*Inputs!$E$6)+((Inputs!$E$7*(1+Inputs!$E$8)^(28-1))*Inputs!$E$9)+(Inputs!$E$11*(1+Inputs!$E$12)^(28-1))+(IF(28&lt;Inputs!$E$13,0,Inputs!$E$14*(1+Inputs!$E$15)^(28-Inputs!$E$13)*Inputs!$E$16))))*Inputs!$E$29))+((Inputs!$E$19+Inputs!$E$20+Inputs!$E$21+Inputs!$E$22+Inputs!$E$23))+(IF(AND(Inputs!$E$24&gt;0,28=Inputs!$E$24),Inputs!$E$25,0))+(MAX((((((((Inputs!$E$3*(1+(Inputs!$E$4*$C2))^(28-1))*Inputs!$E$5)*Inputs!$E$6)+((Inputs!$E$7*(1+Inputs!$E$8)^(28-1))*Inputs!$E$9)+(Inputs!$E$11*(1+Inputs!$E$12)^(28-1))+(IF(28&lt;Inputs!$E$13,0,Inputs!$E$14*(1+Inputs!$E$15)^(28-Inputs!$E$13)*Inputs!$E$16))))-(((((((Inputs!$E$3*(1+(Inputs!$E$4*$C2))^(28-1))*Inputs!$E$5)*Inputs!$E$6)+((Inputs!$E$7*(1+Inputs!$E$8)^(28-1))*Inputs!$E$9)+(Inputs!$E$11*(1+Inputs!$E$12)^(28-1))+(IF(28&lt;Inputs!$E$13,0,Inputs!$E$14*(1+Inputs!$E$15)^(28-Inputs!$E$13)*Inputs!$E$16))))*Inputs!$E$26+((((Inputs!$E$3*(1+(Inputs!$E$4*$C2))^(28-1))*Inputs!$E$5)*Inputs!$E$6)+((Inputs!$E$7*(1+Inputs!$E$8)^(28-1))*Inputs!$E$9)+(IF(28&lt;Inputs!$E$13,0,Inputs!$E$14*(1+Inputs!$E$15)^(28-Inputs!$E$13)*Inputs!$E$16)))*Inputs!$E$27+(Inputs!$E$3*(1+(Inputs!$E$4*$C2))^(28-1))*Inputs!$E$30))-(((Inputs!$E$7*(1+Inputs!$E$8)^(28-1))*Inputs!$E$10))-(((((((Inputs!$E$3*(1+(Inputs!$E$4*$C2))^(28-1))*Inputs!$E$5)*Inputs!$E$6)+((Inputs!$E$7*(1+Inputs!$E$8)^(28-1))*Inputs!$E$9)+(Inputs!$E$11*(1+Inputs!$E$12)^(28-1))+(IF(28&lt;Inputs!$E$13,0,Inputs!$E$14*(1+Inputs!$E$15)^(28-Inputs!$E$13)*Inputs!$E$16))))*Inputs!$E$29))-((Inputs!$E$19+Inputs!$E$20+Inputs!$E$21+Inputs!$E$22+Inputs!$E$23))-(IF(AND(Inputs!$E$24&gt;0,28=Inputs!$E$24),Inputs!$E$25,0)))),0)*Inputs!$E$28))))+(IF(AND(Inputs!$E$17&gt;0,28=Inputs!$E$17),Inputs!$E$18,0))))</f>
        <v/>
      </c>
      <c r="AI2" s="8">
        <f>AH2+(((((((((Inputs!$E$3*(1+(Inputs!$E$4*$C2))^(29-1))*Inputs!$E$5)*Inputs!$E$6)+((Inputs!$E$7*(1+Inputs!$E$8)^(29-1))*Inputs!$E$9)+(Inputs!$E$11*(1+Inputs!$E$12)^(29-1))+(IF(29&lt;Inputs!$E$13,0,Inputs!$E$14*(1+Inputs!$E$15)^(29-Inputs!$E$13)*Inputs!$E$16))))-((((((((Inputs!$E$3*(1+(Inputs!$E$4*$C2))^(29-1))*Inputs!$E$5)*Inputs!$E$6)+((Inputs!$E$7*(1+Inputs!$E$8)^(29-1))*Inputs!$E$9)+(Inputs!$E$11*(1+Inputs!$E$12)^(29-1))+(IF(29&lt;Inputs!$E$13,0,Inputs!$E$14*(1+Inputs!$E$15)^(29-Inputs!$E$13)*Inputs!$E$16))))*Inputs!$E$26+((((Inputs!$E$3*(1+(Inputs!$E$4*$C2))^(29-1))*Inputs!$E$5)*Inputs!$E$6)+((Inputs!$E$7*(1+Inputs!$E$8)^(29-1))*Inputs!$E$9)+(IF(29&lt;Inputs!$E$13,0,Inputs!$E$14*(1+Inputs!$E$15)^(29-Inputs!$E$13)*Inputs!$E$16)))*Inputs!$E$27+(Inputs!$E$3*(1+(Inputs!$E$4*$C2))^(29-1))*Inputs!$E$30))+(((Inputs!$E$7*(1+Inputs!$E$8)^(29-1))*Inputs!$E$10))+(((((((Inputs!$E$3*(1+(Inputs!$E$4*$C2))^(29-1))*Inputs!$E$5)*Inputs!$E$6)+((Inputs!$E$7*(1+Inputs!$E$8)^(29-1))*Inputs!$E$9)+(Inputs!$E$11*(1+Inputs!$E$12)^(29-1))+(IF(29&lt;Inputs!$E$13,0,Inputs!$E$14*(1+Inputs!$E$15)^(29-Inputs!$E$13)*Inputs!$E$16))))*Inputs!$E$29))+((Inputs!$E$19+Inputs!$E$20+Inputs!$E$21+Inputs!$E$22+Inputs!$E$23))+(IF(AND(Inputs!$E$24&gt;0,29=Inputs!$E$24),Inputs!$E$25,0))+(MAX((((((((Inputs!$E$3*(1+(Inputs!$E$4*$C2))^(29-1))*Inputs!$E$5)*Inputs!$E$6)+((Inputs!$E$7*(1+Inputs!$E$8)^(29-1))*Inputs!$E$9)+(Inputs!$E$11*(1+Inputs!$E$12)^(29-1))+(IF(29&lt;Inputs!$E$13,0,Inputs!$E$14*(1+Inputs!$E$15)^(29-Inputs!$E$13)*Inputs!$E$16))))-(((((((Inputs!$E$3*(1+(Inputs!$E$4*$C2))^(29-1))*Inputs!$E$5)*Inputs!$E$6)+((Inputs!$E$7*(1+Inputs!$E$8)^(29-1))*Inputs!$E$9)+(Inputs!$E$11*(1+Inputs!$E$12)^(29-1))+(IF(29&lt;Inputs!$E$13,0,Inputs!$E$14*(1+Inputs!$E$15)^(29-Inputs!$E$13)*Inputs!$E$16))))*Inputs!$E$26+((((Inputs!$E$3*(1+(Inputs!$E$4*$C2))^(29-1))*Inputs!$E$5)*Inputs!$E$6)+((Inputs!$E$7*(1+Inputs!$E$8)^(29-1))*Inputs!$E$9)+(IF(29&lt;Inputs!$E$13,0,Inputs!$E$14*(1+Inputs!$E$15)^(29-Inputs!$E$13)*Inputs!$E$16)))*Inputs!$E$27+(Inputs!$E$3*(1+(Inputs!$E$4*$C2))^(29-1))*Inputs!$E$30))-(((Inputs!$E$7*(1+Inputs!$E$8)^(29-1))*Inputs!$E$10))-(((((((Inputs!$E$3*(1+(Inputs!$E$4*$C2))^(29-1))*Inputs!$E$5)*Inputs!$E$6)+((Inputs!$E$7*(1+Inputs!$E$8)^(29-1))*Inputs!$E$9)+(Inputs!$E$11*(1+Inputs!$E$12)^(29-1))+(IF(29&lt;Inputs!$E$13,0,Inputs!$E$14*(1+Inputs!$E$15)^(29-Inputs!$E$13)*Inputs!$E$16))))*Inputs!$E$29))-((Inputs!$E$19+Inputs!$E$20+Inputs!$E$21+Inputs!$E$22+Inputs!$E$23))-(IF(AND(Inputs!$E$24&gt;0,29=Inputs!$E$24),Inputs!$E$25,0)))),0)*Inputs!$E$28))))+(IF(AND(Inputs!$E$17&gt;0,29=Inputs!$E$17),Inputs!$E$18,0))))</f>
        <v/>
      </c>
      <c r="AJ2" s="8">
        <f>AI2+(((((((((Inputs!$E$3*(1+(Inputs!$E$4*$C2))^(30-1))*Inputs!$E$5)*Inputs!$E$6)+((Inputs!$E$7*(1+Inputs!$E$8)^(30-1))*Inputs!$E$9)+(Inputs!$E$11*(1+Inputs!$E$12)^(30-1))+(IF(30&lt;Inputs!$E$13,0,Inputs!$E$14*(1+Inputs!$E$15)^(30-Inputs!$E$13)*Inputs!$E$16))))-((((((((Inputs!$E$3*(1+(Inputs!$E$4*$C2))^(30-1))*Inputs!$E$5)*Inputs!$E$6)+((Inputs!$E$7*(1+Inputs!$E$8)^(30-1))*Inputs!$E$9)+(Inputs!$E$11*(1+Inputs!$E$12)^(30-1))+(IF(30&lt;Inputs!$E$13,0,Inputs!$E$14*(1+Inputs!$E$15)^(30-Inputs!$E$13)*Inputs!$E$16))))*Inputs!$E$26+((((Inputs!$E$3*(1+(Inputs!$E$4*$C2))^(30-1))*Inputs!$E$5)*Inputs!$E$6)+((Inputs!$E$7*(1+Inputs!$E$8)^(30-1))*Inputs!$E$9)+(IF(30&lt;Inputs!$E$13,0,Inputs!$E$14*(1+Inputs!$E$15)^(30-Inputs!$E$13)*Inputs!$E$16)))*Inputs!$E$27+(Inputs!$E$3*(1+(Inputs!$E$4*$C2))^(30-1))*Inputs!$E$30))+(((Inputs!$E$7*(1+Inputs!$E$8)^(30-1))*Inputs!$E$10))+(((((((Inputs!$E$3*(1+(Inputs!$E$4*$C2))^(30-1))*Inputs!$E$5)*Inputs!$E$6)+((Inputs!$E$7*(1+Inputs!$E$8)^(30-1))*Inputs!$E$9)+(Inputs!$E$11*(1+Inputs!$E$12)^(30-1))+(IF(30&lt;Inputs!$E$13,0,Inputs!$E$14*(1+Inputs!$E$15)^(30-Inputs!$E$13)*Inputs!$E$16))))*Inputs!$E$29))+((Inputs!$E$19+Inputs!$E$20+Inputs!$E$21+Inputs!$E$22+Inputs!$E$23))+(IF(AND(Inputs!$E$24&gt;0,30=Inputs!$E$24),Inputs!$E$25,0))+(MAX((((((((Inputs!$E$3*(1+(Inputs!$E$4*$C2))^(30-1))*Inputs!$E$5)*Inputs!$E$6)+((Inputs!$E$7*(1+Inputs!$E$8)^(30-1))*Inputs!$E$9)+(Inputs!$E$11*(1+Inputs!$E$12)^(30-1))+(IF(30&lt;Inputs!$E$13,0,Inputs!$E$14*(1+Inputs!$E$15)^(30-Inputs!$E$13)*Inputs!$E$16))))-(((((((Inputs!$E$3*(1+(Inputs!$E$4*$C2))^(30-1))*Inputs!$E$5)*Inputs!$E$6)+((Inputs!$E$7*(1+Inputs!$E$8)^(30-1))*Inputs!$E$9)+(Inputs!$E$11*(1+Inputs!$E$12)^(30-1))+(IF(30&lt;Inputs!$E$13,0,Inputs!$E$14*(1+Inputs!$E$15)^(30-Inputs!$E$13)*Inputs!$E$16))))*Inputs!$E$26+((((Inputs!$E$3*(1+(Inputs!$E$4*$C2))^(30-1))*Inputs!$E$5)*Inputs!$E$6)+((Inputs!$E$7*(1+Inputs!$E$8)^(30-1))*Inputs!$E$9)+(IF(30&lt;Inputs!$E$13,0,Inputs!$E$14*(1+Inputs!$E$15)^(30-Inputs!$E$13)*Inputs!$E$16)))*Inputs!$E$27+(Inputs!$E$3*(1+(Inputs!$E$4*$C2))^(30-1))*Inputs!$E$30))-(((Inputs!$E$7*(1+Inputs!$E$8)^(30-1))*Inputs!$E$10))-(((((((Inputs!$E$3*(1+(Inputs!$E$4*$C2))^(30-1))*Inputs!$E$5)*Inputs!$E$6)+((Inputs!$E$7*(1+Inputs!$E$8)^(30-1))*Inputs!$E$9)+(Inputs!$E$11*(1+Inputs!$E$12)^(30-1))+(IF(30&lt;Inputs!$E$13,0,Inputs!$E$14*(1+Inputs!$E$15)^(30-Inputs!$E$13)*Inputs!$E$16))))*Inputs!$E$29))-((Inputs!$E$19+Inputs!$E$20+Inputs!$E$21+Inputs!$E$22+Inputs!$E$23))-(IF(AND(Inputs!$E$24&gt;0,30=Inputs!$E$24),Inputs!$E$25,0)))),0)*Inputs!$E$28))))+(IF(AND(Inputs!$E$17&gt;0,30=Inputs!$E$17),Inputs!$E$18,0))))</f>
        <v/>
      </c>
      <c r="AK2" s="8">
        <f>AJ2+(((((((((Inputs!$E$3*(1+(Inputs!$E$4*$C2))^(31-1))*Inputs!$E$5)*Inputs!$E$6)+((Inputs!$E$7*(1+Inputs!$E$8)^(31-1))*Inputs!$E$9)+(Inputs!$E$11*(1+Inputs!$E$12)^(31-1))+(IF(31&lt;Inputs!$E$13,0,Inputs!$E$14*(1+Inputs!$E$15)^(31-Inputs!$E$13)*Inputs!$E$16))))-((((((((Inputs!$E$3*(1+(Inputs!$E$4*$C2))^(31-1))*Inputs!$E$5)*Inputs!$E$6)+((Inputs!$E$7*(1+Inputs!$E$8)^(31-1))*Inputs!$E$9)+(Inputs!$E$11*(1+Inputs!$E$12)^(31-1))+(IF(31&lt;Inputs!$E$13,0,Inputs!$E$14*(1+Inputs!$E$15)^(31-Inputs!$E$13)*Inputs!$E$16))))*Inputs!$E$26+((((Inputs!$E$3*(1+(Inputs!$E$4*$C2))^(31-1))*Inputs!$E$5)*Inputs!$E$6)+((Inputs!$E$7*(1+Inputs!$E$8)^(31-1))*Inputs!$E$9)+(IF(31&lt;Inputs!$E$13,0,Inputs!$E$14*(1+Inputs!$E$15)^(31-Inputs!$E$13)*Inputs!$E$16)))*Inputs!$E$27+(Inputs!$E$3*(1+(Inputs!$E$4*$C2))^(31-1))*Inputs!$E$30))+(((Inputs!$E$7*(1+Inputs!$E$8)^(31-1))*Inputs!$E$10))+(((((((Inputs!$E$3*(1+(Inputs!$E$4*$C2))^(31-1))*Inputs!$E$5)*Inputs!$E$6)+((Inputs!$E$7*(1+Inputs!$E$8)^(31-1))*Inputs!$E$9)+(Inputs!$E$11*(1+Inputs!$E$12)^(31-1))+(IF(31&lt;Inputs!$E$13,0,Inputs!$E$14*(1+Inputs!$E$15)^(31-Inputs!$E$13)*Inputs!$E$16))))*Inputs!$E$29))+((Inputs!$E$19+Inputs!$E$20+Inputs!$E$21+Inputs!$E$22+Inputs!$E$23))+(IF(AND(Inputs!$E$24&gt;0,31=Inputs!$E$24),Inputs!$E$25,0))+(MAX((((((((Inputs!$E$3*(1+(Inputs!$E$4*$C2))^(31-1))*Inputs!$E$5)*Inputs!$E$6)+((Inputs!$E$7*(1+Inputs!$E$8)^(31-1))*Inputs!$E$9)+(Inputs!$E$11*(1+Inputs!$E$12)^(31-1))+(IF(31&lt;Inputs!$E$13,0,Inputs!$E$14*(1+Inputs!$E$15)^(31-Inputs!$E$13)*Inputs!$E$16))))-(((((((Inputs!$E$3*(1+(Inputs!$E$4*$C2))^(31-1))*Inputs!$E$5)*Inputs!$E$6)+((Inputs!$E$7*(1+Inputs!$E$8)^(31-1))*Inputs!$E$9)+(Inputs!$E$11*(1+Inputs!$E$12)^(31-1))+(IF(31&lt;Inputs!$E$13,0,Inputs!$E$14*(1+Inputs!$E$15)^(31-Inputs!$E$13)*Inputs!$E$16))))*Inputs!$E$26+((((Inputs!$E$3*(1+(Inputs!$E$4*$C2))^(31-1))*Inputs!$E$5)*Inputs!$E$6)+((Inputs!$E$7*(1+Inputs!$E$8)^(31-1))*Inputs!$E$9)+(IF(31&lt;Inputs!$E$13,0,Inputs!$E$14*(1+Inputs!$E$15)^(31-Inputs!$E$13)*Inputs!$E$16)))*Inputs!$E$27+(Inputs!$E$3*(1+(Inputs!$E$4*$C2))^(31-1))*Inputs!$E$30))-(((Inputs!$E$7*(1+Inputs!$E$8)^(31-1))*Inputs!$E$10))-(((((((Inputs!$E$3*(1+(Inputs!$E$4*$C2))^(31-1))*Inputs!$E$5)*Inputs!$E$6)+((Inputs!$E$7*(1+Inputs!$E$8)^(31-1))*Inputs!$E$9)+(Inputs!$E$11*(1+Inputs!$E$12)^(31-1))+(IF(31&lt;Inputs!$E$13,0,Inputs!$E$14*(1+Inputs!$E$15)^(31-Inputs!$E$13)*Inputs!$E$16))))*Inputs!$E$29))-((Inputs!$E$19+Inputs!$E$20+Inputs!$E$21+Inputs!$E$22+Inputs!$E$23))-(IF(AND(Inputs!$E$24&gt;0,31=Inputs!$E$24),Inputs!$E$25,0)))),0)*Inputs!$E$28))))+(IF(AND(Inputs!$E$17&gt;0,31=Inputs!$E$17),Inputs!$E$18,0))))</f>
        <v/>
      </c>
      <c r="AL2" s="8">
        <f>AK2+(((((((((Inputs!$E$3*(1+(Inputs!$E$4*$C2))^(32-1))*Inputs!$E$5)*Inputs!$E$6)+((Inputs!$E$7*(1+Inputs!$E$8)^(32-1))*Inputs!$E$9)+(Inputs!$E$11*(1+Inputs!$E$12)^(32-1))+(IF(32&lt;Inputs!$E$13,0,Inputs!$E$14*(1+Inputs!$E$15)^(32-Inputs!$E$13)*Inputs!$E$16))))-((((((((Inputs!$E$3*(1+(Inputs!$E$4*$C2))^(32-1))*Inputs!$E$5)*Inputs!$E$6)+((Inputs!$E$7*(1+Inputs!$E$8)^(32-1))*Inputs!$E$9)+(Inputs!$E$11*(1+Inputs!$E$12)^(32-1))+(IF(32&lt;Inputs!$E$13,0,Inputs!$E$14*(1+Inputs!$E$15)^(32-Inputs!$E$13)*Inputs!$E$16))))*Inputs!$E$26+((((Inputs!$E$3*(1+(Inputs!$E$4*$C2))^(32-1))*Inputs!$E$5)*Inputs!$E$6)+((Inputs!$E$7*(1+Inputs!$E$8)^(32-1))*Inputs!$E$9)+(IF(32&lt;Inputs!$E$13,0,Inputs!$E$14*(1+Inputs!$E$15)^(32-Inputs!$E$13)*Inputs!$E$16)))*Inputs!$E$27+(Inputs!$E$3*(1+(Inputs!$E$4*$C2))^(32-1))*Inputs!$E$30))+(((Inputs!$E$7*(1+Inputs!$E$8)^(32-1))*Inputs!$E$10))+(((((((Inputs!$E$3*(1+(Inputs!$E$4*$C2))^(32-1))*Inputs!$E$5)*Inputs!$E$6)+((Inputs!$E$7*(1+Inputs!$E$8)^(32-1))*Inputs!$E$9)+(Inputs!$E$11*(1+Inputs!$E$12)^(32-1))+(IF(32&lt;Inputs!$E$13,0,Inputs!$E$14*(1+Inputs!$E$15)^(32-Inputs!$E$13)*Inputs!$E$16))))*Inputs!$E$29))+((Inputs!$E$19+Inputs!$E$20+Inputs!$E$21+Inputs!$E$22+Inputs!$E$23))+(IF(AND(Inputs!$E$24&gt;0,32=Inputs!$E$24),Inputs!$E$25,0))+(MAX((((((((Inputs!$E$3*(1+(Inputs!$E$4*$C2))^(32-1))*Inputs!$E$5)*Inputs!$E$6)+((Inputs!$E$7*(1+Inputs!$E$8)^(32-1))*Inputs!$E$9)+(Inputs!$E$11*(1+Inputs!$E$12)^(32-1))+(IF(32&lt;Inputs!$E$13,0,Inputs!$E$14*(1+Inputs!$E$15)^(32-Inputs!$E$13)*Inputs!$E$16))))-(((((((Inputs!$E$3*(1+(Inputs!$E$4*$C2))^(32-1))*Inputs!$E$5)*Inputs!$E$6)+((Inputs!$E$7*(1+Inputs!$E$8)^(32-1))*Inputs!$E$9)+(Inputs!$E$11*(1+Inputs!$E$12)^(32-1))+(IF(32&lt;Inputs!$E$13,0,Inputs!$E$14*(1+Inputs!$E$15)^(32-Inputs!$E$13)*Inputs!$E$16))))*Inputs!$E$26+((((Inputs!$E$3*(1+(Inputs!$E$4*$C2))^(32-1))*Inputs!$E$5)*Inputs!$E$6)+((Inputs!$E$7*(1+Inputs!$E$8)^(32-1))*Inputs!$E$9)+(IF(32&lt;Inputs!$E$13,0,Inputs!$E$14*(1+Inputs!$E$15)^(32-Inputs!$E$13)*Inputs!$E$16)))*Inputs!$E$27+(Inputs!$E$3*(1+(Inputs!$E$4*$C2))^(32-1))*Inputs!$E$30))-(((Inputs!$E$7*(1+Inputs!$E$8)^(32-1))*Inputs!$E$10))-(((((((Inputs!$E$3*(1+(Inputs!$E$4*$C2))^(32-1))*Inputs!$E$5)*Inputs!$E$6)+((Inputs!$E$7*(1+Inputs!$E$8)^(32-1))*Inputs!$E$9)+(Inputs!$E$11*(1+Inputs!$E$12)^(32-1))+(IF(32&lt;Inputs!$E$13,0,Inputs!$E$14*(1+Inputs!$E$15)^(32-Inputs!$E$13)*Inputs!$E$16))))*Inputs!$E$29))-((Inputs!$E$19+Inputs!$E$20+Inputs!$E$21+Inputs!$E$22+Inputs!$E$23))-(IF(AND(Inputs!$E$24&gt;0,32=Inputs!$E$24),Inputs!$E$25,0)))),0)*Inputs!$E$28))))+(IF(AND(Inputs!$E$17&gt;0,32=Inputs!$E$17),Inputs!$E$18,0))))</f>
        <v/>
      </c>
      <c r="AM2" s="8">
        <f>AL2+(((((((((Inputs!$E$3*(1+(Inputs!$E$4*$C2))^(33-1))*Inputs!$E$5)*Inputs!$E$6)+((Inputs!$E$7*(1+Inputs!$E$8)^(33-1))*Inputs!$E$9)+(Inputs!$E$11*(1+Inputs!$E$12)^(33-1))+(IF(33&lt;Inputs!$E$13,0,Inputs!$E$14*(1+Inputs!$E$15)^(33-Inputs!$E$13)*Inputs!$E$16))))-((((((((Inputs!$E$3*(1+(Inputs!$E$4*$C2))^(33-1))*Inputs!$E$5)*Inputs!$E$6)+((Inputs!$E$7*(1+Inputs!$E$8)^(33-1))*Inputs!$E$9)+(Inputs!$E$11*(1+Inputs!$E$12)^(33-1))+(IF(33&lt;Inputs!$E$13,0,Inputs!$E$14*(1+Inputs!$E$15)^(33-Inputs!$E$13)*Inputs!$E$16))))*Inputs!$E$26+((((Inputs!$E$3*(1+(Inputs!$E$4*$C2))^(33-1))*Inputs!$E$5)*Inputs!$E$6)+((Inputs!$E$7*(1+Inputs!$E$8)^(33-1))*Inputs!$E$9)+(IF(33&lt;Inputs!$E$13,0,Inputs!$E$14*(1+Inputs!$E$15)^(33-Inputs!$E$13)*Inputs!$E$16)))*Inputs!$E$27+(Inputs!$E$3*(1+(Inputs!$E$4*$C2))^(33-1))*Inputs!$E$30))+(((Inputs!$E$7*(1+Inputs!$E$8)^(33-1))*Inputs!$E$10))+(((((((Inputs!$E$3*(1+(Inputs!$E$4*$C2))^(33-1))*Inputs!$E$5)*Inputs!$E$6)+((Inputs!$E$7*(1+Inputs!$E$8)^(33-1))*Inputs!$E$9)+(Inputs!$E$11*(1+Inputs!$E$12)^(33-1))+(IF(33&lt;Inputs!$E$13,0,Inputs!$E$14*(1+Inputs!$E$15)^(33-Inputs!$E$13)*Inputs!$E$16))))*Inputs!$E$29))+((Inputs!$E$19+Inputs!$E$20+Inputs!$E$21+Inputs!$E$22+Inputs!$E$23))+(IF(AND(Inputs!$E$24&gt;0,33=Inputs!$E$24),Inputs!$E$25,0))+(MAX((((((((Inputs!$E$3*(1+(Inputs!$E$4*$C2))^(33-1))*Inputs!$E$5)*Inputs!$E$6)+((Inputs!$E$7*(1+Inputs!$E$8)^(33-1))*Inputs!$E$9)+(Inputs!$E$11*(1+Inputs!$E$12)^(33-1))+(IF(33&lt;Inputs!$E$13,0,Inputs!$E$14*(1+Inputs!$E$15)^(33-Inputs!$E$13)*Inputs!$E$16))))-(((((((Inputs!$E$3*(1+(Inputs!$E$4*$C2))^(33-1))*Inputs!$E$5)*Inputs!$E$6)+((Inputs!$E$7*(1+Inputs!$E$8)^(33-1))*Inputs!$E$9)+(Inputs!$E$11*(1+Inputs!$E$12)^(33-1))+(IF(33&lt;Inputs!$E$13,0,Inputs!$E$14*(1+Inputs!$E$15)^(33-Inputs!$E$13)*Inputs!$E$16))))*Inputs!$E$26+((((Inputs!$E$3*(1+(Inputs!$E$4*$C2))^(33-1))*Inputs!$E$5)*Inputs!$E$6)+((Inputs!$E$7*(1+Inputs!$E$8)^(33-1))*Inputs!$E$9)+(IF(33&lt;Inputs!$E$13,0,Inputs!$E$14*(1+Inputs!$E$15)^(33-Inputs!$E$13)*Inputs!$E$16)))*Inputs!$E$27+(Inputs!$E$3*(1+(Inputs!$E$4*$C2))^(33-1))*Inputs!$E$30))-(((Inputs!$E$7*(1+Inputs!$E$8)^(33-1))*Inputs!$E$10))-(((((((Inputs!$E$3*(1+(Inputs!$E$4*$C2))^(33-1))*Inputs!$E$5)*Inputs!$E$6)+((Inputs!$E$7*(1+Inputs!$E$8)^(33-1))*Inputs!$E$9)+(Inputs!$E$11*(1+Inputs!$E$12)^(33-1))+(IF(33&lt;Inputs!$E$13,0,Inputs!$E$14*(1+Inputs!$E$15)^(33-Inputs!$E$13)*Inputs!$E$16))))*Inputs!$E$29))-((Inputs!$E$19+Inputs!$E$20+Inputs!$E$21+Inputs!$E$22+Inputs!$E$23))-(IF(AND(Inputs!$E$24&gt;0,33=Inputs!$E$24),Inputs!$E$25,0)))),0)*Inputs!$E$28))))+(IF(AND(Inputs!$E$17&gt;0,33=Inputs!$E$17),Inputs!$E$18,0))))</f>
        <v/>
      </c>
      <c r="AN2" s="8">
        <f>AM2+(((((((((Inputs!$E$3*(1+(Inputs!$E$4*$C2))^(34-1))*Inputs!$E$5)*Inputs!$E$6)+((Inputs!$E$7*(1+Inputs!$E$8)^(34-1))*Inputs!$E$9)+(Inputs!$E$11*(1+Inputs!$E$12)^(34-1))+(IF(34&lt;Inputs!$E$13,0,Inputs!$E$14*(1+Inputs!$E$15)^(34-Inputs!$E$13)*Inputs!$E$16))))-((((((((Inputs!$E$3*(1+(Inputs!$E$4*$C2))^(34-1))*Inputs!$E$5)*Inputs!$E$6)+((Inputs!$E$7*(1+Inputs!$E$8)^(34-1))*Inputs!$E$9)+(Inputs!$E$11*(1+Inputs!$E$12)^(34-1))+(IF(34&lt;Inputs!$E$13,0,Inputs!$E$14*(1+Inputs!$E$15)^(34-Inputs!$E$13)*Inputs!$E$16))))*Inputs!$E$26+((((Inputs!$E$3*(1+(Inputs!$E$4*$C2))^(34-1))*Inputs!$E$5)*Inputs!$E$6)+((Inputs!$E$7*(1+Inputs!$E$8)^(34-1))*Inputs!$E$9)+(IF(34&lt;Inputs!$E$13,0,Inputs!$E$14*(1+Inputs!$E$15)^(34-Inputs!$E$13)*Inputs!$E$16)))*Inputs!$E$27+(Inputs!$E$3*(1+(Inputs!$E$4*$C2))^(34-1))*Inputs!$E$30))+(((Inputs!$E$7*(1+Inputs!$E$8)^(34-1))*Inputs!$E$10))+(((((((Inputs!$E$3*(1+(Inputs!$E$4*$C2))^(34-1))*Inputs!$E$5)*Inputs!$E$6)+((Inputs!$E$7*(1+Inputs!$E$8)^(34-1))*Inputs!$E$9)+(Inputs!$E$11*(1+Inputs!$E$12)^(34-1))+(IF(34&lt;Inputs!$E$13,0,Inputs!$E$14*(1+Inputs!$E$15)^(34-Inputs!$E$13)*Inputs!$E$16))))*Inputs!$E$29))+((Inputs!$E$19+Inputs!$E$20+Inputs!$E$21+Inputs!$E$22+Inputs!$E$23))+(IF(AND(Inputs!$E$24&gt;0,34=Inputs!$E$24),Inputs!$E$25,0))+(MAX((((((((Inputs!$E$3*(1+(Inputs!$E$4*$C2))^(34-1))*Inputs!$E$5)*Inputs!$E$6)+((Inputs!$E$7*(1+Inputs!$E$8)^(34-1))*Inputs!$E$9)+(Inputs!$E$11*(1+Inputs!$E$12)^(34-1))+(IF(34&lt;Inputs!$E$13,0,Inputs!$E$14*(1+Inputs!$E$15)^(34-Inputs!$E$13)*Inputs!$E$16))))-(((((((Inputs!$E$3*(1+(Inputs!$E$4*$C2))^(34-1))*Inputs!$E$5)*Inputs!$E$6)+((Inputs!$E$7*(1+Inputs!$E$8)^(34-1))*Inputs!$E$9)+(Inputs!$E$11*(1+Inputs!$E$12)^(34-1))+(IF(34&lt;Inputs!$E$13,0,Inputs!$E$14*(1+Inputs!$E$15)^(34-Inputs!$E$13)*Inputs!$E$16))))*Inputs!$E$26+((((Inputs!$E$3*(1+(Inputs!$E$4*$C2))^(34-1))*Inputs!$E$5)*Inputs!$E$6)+((Inputs!$E$7*(1+Inputs!$E$8)^(34-1))*Inputs!$E$9)+(IF(34&lt;Inputs!$E$13,0,Inputs!$E$14*(1+Inputs!$E$15)^(34-Inputs!$E$13)*Inputs!$E$16)))*Inputs!$E$27+(Inputs!$E$3*(1+(Inputs!$E$4*$C2))^(34-1))*Inputs!$E$30))-(((Inputs!$E$7*(1+Inputs!$E$8)^(34-1))*Inputs!$E$10))-(((((((Inputs!$E$3*(1+(Inputs!$E$4*$C2))^(34-1))*Inputs!$E$5)*Inputs!$E$6)+((Inputs!$E$7*(1+Inputs!$E$8)^(34-1))*Inputs!$E$9)+(Inputs!$E$11*(1+Inputs!$E$12)^(34-1))+(IF(34&lt;Inputs!$E$13,0,Inputs!$E$14*(1+Inputs!$E$15)^(34-Inputs!$E$13)*Inputs!$E$16))))*Inputs!$E$29))-((Inputs!$E$19+Inputs!$E$20+Inputs!$E$21+Inputs!$E$22+Inputs!$E$23))-(IF(AND(Inputs!$E$24&gt;0,34=Inputs!$E$24),Inputs!$E$25,0)))),0)*Inputs!$E$28))))+(IF(AND(Inputs!$E$17&gt;0,34=Inputs!$E$17),Inputs!$E$18,0))))</f>
        <v/>
      </c>
      <c r="AO2" s="8">
        <f>AN2+(((((((((Inputs!$E$3*(1+(Inputs!$E$4*$C2))^(35-1))*Inputs!$E$5)*Inputs!$E$6)+((Inputs!$E$7*(1+Inputs!$E$8)^(35-1))*Inputs!$E$9)+(Inputs!$E$11*(1+Inputs!$E$12)^(35-1))+(IF(35&lt;Inputs!$E$13,0,Inputs!$E$14*(1+Inputs!$E$15)^(35-Inputs!$E$13)*Inputs!$E$16))))-((((((((Inputs!$E$3*(1+(Inputs!$E$4*$C2))^(35-1))*Inputs!$E$5)*Inputs!$E$6)+((Inputs!$E$7*(1+Inputs!$E$8)^(35-1))*Inputs!$E$9)+(Inputs!$E$11*(1+Inputs!$E$12)^(35-1))+(IF(35&lt;Inputs!$E$13,0,Inputs!$E$14*(1+Inputs!$E$15)^(35-Inputs!$E$13)*Inputs!$E$16))))*Inputs!$E$26+((((Inputs!$E$3*(1+(Inputs!$E$4*$C2))^(35-1))*Inputs!$E$5)*Inputs!$E$6)+((Inputs!$E$7*(1+Inputs!$E$8)^(35-1))*Inputs!$E$9)+(IF(35&lt;Inputs!$E$13,0,Inputs!$E$14*(1+Inputs!$E$15)^(35-Inputs!$E$13)*Inputs!$E$16)))*Inputs!$E$27+(Inputs!$E$3*(1+(Inputs!$E$4*$C2))^(35-1))*Inputs!$E$30))+(((Inputs!$E$7*(1+Inputs!$E$8)^(35-1))*Inputs!$E$10))+(((((((Inputs!$E$3*(1+(Inputs!$E$4*$C2))^(35-1))*Inputs!$E$5)*Inputs!$E$6)+((Inputs!$E$7*(1+Inputs!$E$8)^(35-1))*Inputs!$E$9)+(Inputs!$E$11*(1+Inputs!$E$12)^(35-1))+(IF(35&lt;Inputs!$E$13,0,Inputs!$E$14*(1+Inputs!$E$15)^(35-Inputs!$E$13)*Inputs!$E$16))))*Inputs!$E$29))+((Inputs!$E$19+Inputs!$E$20+Inputs!$E$21+Inputs!$E$22+Inputs!$E$23))+(IF(AND(Inputs!$E$24&gt;0,35=Inputs!$E$24),Inputs!$E$25,0))+(MAX((((((((Inputs!$E$3*(1+(Inputs!$E$4*$C2))^(35-1))*Inputs!$E$5)*Inputs!$E$6)+((Inputs!$E$7*(1+Inputs!$E$8)^(35-1))*Inputs!$E$9)+(Inputs!$E$11*(1+Inputs!$E$12)^(35-1))+(IF(35&lt;Inputs!$E$13,0,Inputs!$E$14*(1+Inputs!$E$15)^(35-Inputs!$E$13)*Inputs!$E$16))))-(((((((Inputs!$E$3*(1+(Inputs!$E$4*$C2))^(35-1))*Inputs!$E$5)*Inputs!$E$6)+((Inputs!$E$7*(1+Inputs!$E$8)^(35-1))*Inputs!$E$9)+(Inputs!$E$11*(1+Inputs!$E$12)^(35-1))+(IF(35&lt;Inputs!$E$13,0,Inputs!$E$14*(1+Inputs!$E$15)^(35-Inputs!$E$13)*Inputs!$E$16))))*Inputs!$E$26+((((Inputs!$E$3*(1+(Inputs!$E$4*$C2))^(35-1))*Inputs!$E$5)*Inputs!$E$6)+((Inputs!$E$7*(1+Inputs!$E$8)^(35-1))*Inputs!$E$9)+(IF(35&lt;Inputs!$E$13,0,Inputs!$E$14*(1+Inputs!$E$15)^(35-Inputs!$E$13)*Inputs!$E$16)))*Inputs!$E$27+(Inputs!$E$3*(1+(Inputs!$E$4*$C2))^(35-1))*Inputs!$E$30))-(((Inputs!$E$7*(1+Inputs!$E$8)^(35-1))*Inputs!$E$10))-(((((((Inputs!$E$3*(1+(Inputs!$E$4*$C2))^(35-1))*Inputs!$E$5)*Inputs!$E$6)+((Inputs!$E$7*(1+Inputs!$E$8)^(35-1))*Inputs!$E$9)+(Inputs!$E$11*(1+Inputs!$E$12)^(35-1))+(IF(35&lt;Inputs!$E$13,0,Inputs!$E$14*(1+Inputs!$E$15)^(35-Inputs!$E$13)*Inputs!$E$16))))*Inputs!$E$29))-((Inputs!$E$19+Inputs!$E$20+Inputs!$E$21+Inputs!$E$22+Inputs!$E$23))-(IF(AND(Inputs!$E$24&gt;0,35=Inputs!$E$24),Inputs!$E$25,0)))),0)*Inputs!$E$28))))+(IF(AND(Inputs!$E$17&gt;0,35=Inputs!$E$17),Inputs!$E$18,0))))</f>
        <v/>
      </c>
      <c r="AP2" s="8">
        <f>AO2+(((((((((Inputs!$E$3*(1+(Inputs!$E$4*$C2))^(36-1))*Inputs!$E$5)*Inputs!$E$6)+((Inputs!$E$7*(1+Inputs!$E$8)^(36-1))*Inputs!$E$9)+(Inputs!$E$11*(1+Inputs!$E$12)^(36-1))+(IF(36&lt;Inputs!$E$13,0,Inputs!$E$14*(1+Inputs!$E$15)^(36-Inputs!$E$13)*Inputs!$E$16))))-((((((((Inputs!$E$3*(1+(Inputs!$E$4*$C2))^(36-1))*Inputs!$E$5)*Inputs!$E$6)+((Inputs!$E$7*(1+Inputs!$E$8)^(36-1))*Inputs!$E$9)+(Inputs!$E$11*(1+Inputs!$E$12)^(36-1))+(IF(36&lt;Inputs!$E$13,0,Inputs!$E$14*(1+Inputs!$E$15)^(36-Inputs!$E$13)*Inputs!$E$16))))*Inputs!$E$26+((((Inputs!$E$3*(1+(Inputs!$E$4*$C2))^(36-1))*Inputs!$E$5)*Inputs!$E$6)+((Inputs!$E$7*(1+Inputs!$E$8)^(36-1))*Inputs!$E$9)+(IF(36&lt;Inputs!$E$13,0,Inputs!$E$14*(1+Inputs!$E$15)^(36-Inputs!$E$13)*Inputs!$E$16)))*Inputs!$E$27+(Inputs!$E$3*(1+(Inputs!$E$4*$C2))^(36-1))*Inputs!$E$30))+(((Inputs!$E$7*(1+Inputs!$E$8)^(36-1))*Inputs!$E$10))+(((((((Inputs!$E$3*(1+(Inputs!$E$4*$C2))^(36-1))*Inputs!$E$5)*Inputs!$E$6)+((Inputs!$E$7*(1+Inputs!$E$8)^(36-1))*Inputs!$E$9)+(Inputs!$E$11*(1+Inputs!$E$12)^(36-1))+(IF(36&lt;Inputs!$E$13,0,Inputs!$E$14*(1+Inputs!$E$15)^(36-Inputs!$E$13)*Inputs!$E$16))))*Inputs!$E$29))+((Inputs!$E$19+Inputs!$E$20+Inputs!$E$21+Inputs!$E$22+Inputs!$E$23))+(IF(AND(Inputs!$E$24&gt;0,36=Inputs!$E$24),Inputs!$E$25,0))+(MAX((((((((Inputs!$E$3*(1+(Inputs!$E$4*$C2))^(36-1))*Inputs!$E$5)*Inputs!$E$6)+((Inputs!$E$7*(1+Inputs!$E$8)^(36-1))*Inputs!$E$9)+(Inputs!$E$11*(1+Inputs!$E$12)^(36-1))+(IF(36&lt;Inputs!$E$13,0,Inputs!$E$14*(1+Inputs!$E$15)^(36-Inputs!$E$13)*Inputs!$E$16))))-(((((((Inputs!$E$3*(1+(Inputs!$E$4*$C2))^(36-1))*Inputs!$E$5)*Inputs!$E$6)+((Inputs!$E$7*(1+Inputs!$E$8)^(36-1))*Inputs!$E$9)+(Inputs!$E$11*(1+Inputs!$E$12)^(36-1))+(IF(36&lt;Inputs!$E$13,0,Inputs!$E$14*(1+Inputs!$E$15)^(36-Inputs!$E$13)*Inputs!$E$16))))*Inputs!$E$26+((((Inputs!$E$3*(1+(Inputs!$E$4*$C2))^(36-1))*Inputs!$E$5)*Inputs!$E$6)+((Inputs!$E$7*(1+Inputs!$E$8)^(36-1))*Inputs!$E$9)+(IF(36&lt;Inputs!$E$13,0,Inputs!$E$14*(1+Inputs!$E$15)^(36-Inputs!$E$13)*Inputs!$E$16)))*Inputs!$E$27+(Inputs!$E$3*(1+(Inputs!$E$4*$C2))^(36-1))*Inputs!$E$30))-(((Inputs!$E$7*(1+Inputs!$E$8)^(36-1))*Inputs!$E$10))-(((((((Inputs!$E$3*(1+(Inputs!$E$4*$C2))^(36-1))*Inputs!$E$5)*Inputs!$E$6)+((Inputs!$E$7*(1+Inputs!$E$8)^(36-1))*Inputs!$E$9)+(Inputs!$E$11*(1+Inputs!$E$12)^(36-1))+(IF(36&lt;Inputs!$E$13,0,Inputs!$E$14*(1+Inputs!$E$15)^(36-Inputs!$E$13)*Inputs!$E$16))))*Inputs!$E$29))-((Inputs!$E$19+Inputs!$E$20+Inputs!$E$21+Inputs!$E$22+Inputs!$E$23))-(IF(AND(Inputs!$E$24&gt;0,36=Inputs!$E$24),Inputs!$E$25,0)))),0)*Inputs!$E$28))))+(IF(AND(Inputs!$E$17&gt;0,36=Inputs!$E$17),Inputs!$E$18,0))))</f>
        <v/>
      </c>
    </row>
    <row r="3">
      <c r="A3" s="2" t="inlineStr">
        <is>
          <t>monthly_active_growth</t>
        </is>
      </c>
      <c r="B3" s="2" t="inlineStr">
        <is>
          <t>User growth +20%</t>
        </is>
      </c>
      <c r="C3" s="2" t="n">
        <v>1.2</v>
      </c>
      <c r="D3" s="8">
        <f>AP3</f>
        <v/>
      </c>
      <c r="E3" s="8">
        <f>IFERROR(INDEX($G$1:$AP$1,MATCH(TRUE,$G3:$AP3&lt;0,0)),"No cash-out")</f>
        <v/>
      </c>
      <c r="F3" s="2" t="inlineStr">
        <is>
          <t>See ending cash / cash-out; monthly op net in Monthly Model</t>
        </is>
      </c>
      <c r="G3" s="8">
        <f>Inputs!$E$2+(((((((((Inputs!$E$3*(1+(Inputs!$E$4*$C3))^(1-1))*Inputs!$E$5)*Inputs!$E$6)+((Inputs!$E$7*(1+Inputs!$E$8)^(1-1))*Inputs!$E$9)+(Inputs!$E$11*(1+Inputs!$E$12)^(1-1))+(IF(1&lt;Inputs!$E$13,0,Inputs!$E$14*(1+Inputs!$E$15)^(1-Inputs!$E$13)*Inputs!$E$16))))-((((((((Inputs!$E$3*(1+(Inputs!$E$4*$C3))^(1-1))*Inputs!$E$5)*Inputs!$E$6)+((Inputs!$E$7*(1+Inputs!$E$8)^(1-1))*Inputs!$E$9)+(Inputs!$E$11*(1+Inputs!$E$12)^(1-1))+(IF(1&lt;Inputs!$E$13,0,Inputs!$E$14*(1+Inputs!$E$15)^(1-Inputs!$E$13)*Inputs!$E$16))))*Inputs!$E$26+((((Inputs!$E$3*(1+(Inputs!$E$4*$C3))^(1-1))*Inputs!$E$5)*Inputs!$E$6)+((Inputs!$E$7*(1+Inputs!$E$8)^(1-1))*Inputs!$E$9)+(IF(1&lt;Inputs!$E$13,0,Inputs!$E$14*(1+Inputs!$E$15)^(1-Inputs!$E$13)*Inputs!$E$16)))*Inputs!$E$27+(Inputs!$E$3*(1+(Inputs!$E$4*$C3))^(1-1))*Inputs!$E$30))+(((Inputs!$E$7*(1+Inputs!$E$8)^(1-1))*Inputs!$E$10))+(((((((Inputs!$E$3*(1+(Inputs!$E$4*$C3))^(1-1))*Inputs!$E$5)*Inputs!$E$6)+((Inputs!$E$7*(1+Inputs!$E$8)^(1-1))*Inputs!$E$9)+(Inputs!$E$11*(1+Inputs!$E$12)^(1-1))+(IF(1&lt;Inputs!$E$13,0,Inputs!$E$14*(1+Inputs!$E$15)^(1-Inputs!$E$13)*Inputs!$E$16))))*Inputs!$E$29))+((Inputs!$E$19+Inputs!$E$20+Inputs!$E$21+Inputs!$E$22+Inputs!$E$23))+(IF(AND(Inputs!$E$24&gt;0,1=Inputs!$E$24),Inputs!$E$25,0))+(MAX((((((((Inputs!$E$3*(1+(Inputs!$E$4*$C3))^(1-1))*Inputs!$E$5)*Inputs!$E$6)+((Inputs!$E$7*(1+Inputs!$E$8)^(1-1))*Inputs!$E$9)+(Inputs!$E$11*(1+Inputs!$E$12)^(1-1))+(IF(1&lt;Inputs!$E$13,0,Inputs!$E$14*(1+Inputs!$E$15)^(1-Inputs!$E$13)*Inputs!$E$16))))-(((((((Inputs!$E$3*(1+(Inputs!$E$4*$C3))^(1-1))*Inputs!$E$5)*Inputs!$E$6)+((Inputs!$E$7*(1+Inputs!$E$8)^(1-1))*Inputs!$E$9)+(Inputs!$E$11*(1+Inputs!$E$12)^(1-1))+(IF(1&lt;Inputs!$E$13,0,Inputs!$E$14*(1+Inputs!$E$15)^(1-Inputs!$E$13)*Inputs!$E$16))))*Inputs!$E$26+((((Inputs!$E$3*(1+(Inputs!$E$4*$C3))^(1-1))*Inputs!$E$5)*Inputs!$E$6)+((Inputs!$E$7*(1+Inputs!$E$8)^(1-1))*Inputs!$E$9)+(IF(1&lt;Inputs!$E$13,0,Inputs!$E$14*(1+Inputs!$E$15)^(1-Inputs!$E$13)*Inputs!$E$16)))*Inputs!$E$27+(Inputs!$E$3*(1+(Inputs!$E$4*$C3))^(1-1))*Inputs!$E$30))-(((Inputs!$E$7*(1+Inputs!$E$8)^(1-1))*Inputs!$E$10))-(((((((Inputs!$E$3*(1+(Inputs!$E$4*$C3))^(1-1))*Inputs!$E$5)*Inputs!$E$6)+((Inputs!$E$7*(1+Inputs!$E$8)^(1-1))*Inputs!$E$9)+(Inputs!$E$11*(1+Inputs!$E$12)^(1-1))+(IF(1&lt;Inputs!$E$13,0,Inputs!$E$14*(1+Inputs!$E$15)^(1-Inputs!$E$13)*Inputs!$E$16))))*Inputs!$E$29))-((Inputs!$E$19+Inputs!$E$20+Inputs!$E$21+Inputs!$E$22+Inputs!$E$23))-(IF(AND(Inputs!$E$24&gt;0,1=Inputs!$E$24),Inputs!$E$25,0)))),0)*Inputs!$E$28))))+(IF(AND(Inputs!$E$17&gt;0,1=Inputs!$E$17),Inputs!$E$18,0))))</f>
        <v/>
      </c>
      <c r="H3" s="8">
        <f>G3+(((((((((Inputs!$E$3*(1+(Inputs!$E$4*$C3))^(2-1))*Inputs!$E$5)*Inputs!$E$6)+((Inputs!$E$7*(1+Inputs!$E$8)^(2-1))*Inputs!$E$9)+(Inputs!$E$11*(1+Inputs!$E$12)^(2-1))+(IF(2&lt;Inputs!$E$13,0,Inputs!$E$14*(1+Inputs!$E$15)^(2-Inputs!$E$13)*Inputs!$E$16))))-((((((((Inputs!$E$3*(1+(Inputs!$E$4*$C3))^(2-1))*Inputs!$E$5)*Inputs!$E$6)+((Inputs!$E$7*(1+Inputs!$E$8)^(2-1))*Inputs!$E$9)+(Inputs!$E$11*(1+Inputs!$E$12)^(2-1))+(IF(2&lt;Inputs!$E$13,0,Inputs!$E$14*(1+Inputs!$E$15)^(2-Inputs!$E$13)*Inputs!$E$16))))*Inputs!$E$26+((((Inputs!$E$3*(1+(Inputs!$E$4*$C3))^(2-1))*Inputs!$E$5)*Inputs!$E$6)+((Inputs!$E$7*(1+Inputs!$E$8)^(2-1))*Inputs!$E$9)+(IF(2&lt;Inputs!$E$13,0,Inputs!$E$14*(1+Inputs!$E$15)^(2-Inputs!$E$13)*Inputs!$E$16)))*Inputs!$E$27+(Inputs!$E$3*(1+(Inputs!$E$4*$C3))^(2-1))*Inputs!$E$30))+(((Inputs!$E$7*(1+Inputs!$E$8)^(2-1))*Inputs!$E$10))+(((((((Inputs!$E$3*(1+(Inputs!$E$4*$C3))^(2-1))*Inputs!$E$5)*Inputs!$E$6)+((Inputs!$E$7*(1+Inputs!$E$8)^(2-1))*Inputs!$E$9)+(Inputs!$E$11*(1+Inputs!$E$12)^(2-1))+(IF(2&lt;Inputs!$E$13,0,Inputs!$E$14*(1+Inputs!$E$15)^(2-Inputs!$E$13)*Inputs!$E$16))))*Inputs!$E$29))+((Inputs!$E$19+Inputs!$E$20+Inputs!$E$21+Inputs!$E$22+Inputs!$E$23))+(IF(AND(Inputs!$E$24&gt;0,2=Inputs!$E$24),Inputs!$E$25,0))+(MAX((((((((Inputs!$E$3*(1+(Inputs!$E$4*$C3))^(2-1))*Inputs!$E$5)*Inputs!$E$6)+((Inputs!$E$7*(1+Inputs!$E$8)^(2-1))*Inputs!$E$9)+(Inputs!$E$11*(1+Inputs!$E$12)^(2-1))+(IF(2&lt;Inputs!$E$13,0,Inputs!$E$14*(1+Inputs!$E$15)^(2-Inputs!$E$13)*Inputs!$E$16))))-(((((((Inputs!$E$3*(1+(Inputs!$E$4*$C3))^(2-1))*Inputs!$E$5)*Inputs!$E$6)+((Inputs!$E$7*(1+Inputs!$E$8)^(2-1))*Inputs!$E$9)+(Inputs!$E$11*(1+Inputs!$E$12)^(2-1))+(IF(2&lt;Inputs!$E$13,0,Inputs!$E$14*(1+Inputs!$E$15)^(2-Inputs!$E$13)*Inputs!$E$16))))*Inputs!$E$26+((((Inputs!$E$3*(1+(Inputs!$E$4*$C3))^(2-1))*Inputs!$E$5)*Inputs!$E$6)+((Inputs!$E$7*(1+Inputs!$E$8)^(2-1))*Inputs!$E$9)+(IF(2&lt;Inputs!$E$13,0,Inputs!$E$14*(1+Inputs!$E$15)^(2-Inputs!$E$13)*Inputs!$E$16)))*Inputs!$E$27+(Inputs!$E$3*(1+(Inputs!$E$4*$C3))^(2-1))*Inputs!$E$30))-(((Inputs!$E$7*(1+Inputs!$E$8)^(2-1))*Inputs!$E$10))-(((((((Inputs!$E$3*(1+(Inputs!$E$4*$C3))^(2-1))*Inputs!$E$5)*Inputs!$E$6)+((Inputs!$E$7*(1+Inputs!$E$8)^(2-1))*Inputs!$E$9)+(Inputs!$E$11*(1+Inputs!$E$12)^(2-1))+(IF(2&lt;Inputs!$E$13,0,Inputs!$E$14*(1+Inputs!$E$15)^(2-Inputs!$E$13)*Inputs!$E$16))))*Inputs!$E$29))-((Inputs!$E$19+Inputs!$E$20+Inputs!$E$21+Inputs!$E$22+Inputs!$E$23))-(IF(AND(Inputs!$E$24&gt;0,2=Inputs!$E$24),Inputs!$E$25,0)))),0)*Inputs!$E$28))))+(IF(AND(Inputs!$E$17&gt;0,2=Inputs!$E$17),Inputs!$E$18,0))))</f>
        <v/>
      </c>
      <c r="I3" s="8">
        <f>H3+(((((((((Inputs!$E$3*(1+(Inputs!$E$4*$C3))^(3-1))*Inputs!$E$5)*Inputs!$E$6)+((Inputs!$E$7*(1+Inputs!$E$8)^(3-1))*Inputs!$E$9)+(Inputs!$E$11*(1+Inputs!$E$12)^(3-1))+(IF(3&lt;Inputs!$E$13,0,Inputs!$E$14*(1+Inputs!$E$15)^(3-Inputs!$E$13)*Inputs!$E$16))))-((((((((Inputs!$E$3*(1+(Inputs!$E$4*$C3))^(3-1))*Inputs!$E$5)*Inputs!$E$6)+((Inputs!$E$7*(1+Inputs!$E$8)^(3-1))*Inputs!$E$9)+(Inputs!$E$11*(1+Inputs!$E$12)^(3-1))+(IF(3&lt;Inputs!$E$13,0,Inputs!$E$14*(1+Inputs!$E$15)^(3-Inputs!$E$13)*Inputs!$E$16))))*Inputs!$E$26+((((Inputs!$E$3*(1+(Inputs!$E$4*$C3))^(3-1))*Inputs!$E$5)*Inputs!$E$6)+((Inputs!$E$7*(1+Inputs!$E$8)^(3-1))*Inputs!$E$9)+(IF(3&lt;Inputs!$E$13,0,Inputs!$E$14*(1+Inputs!$E$15)^(3-Inputs!$E$13)*Inputs!$E$16)))*Inputs!$E$27+(Inputs!$E$3*(1+(Inputs!$E$4*$C3))^(3-1))*Inputs!$E$30))+(((Inputs!$E$7*(1+Inputs!$E$8)^(3-1))*Inputs!$E$10))+(((((((Inputs!$E$3*(1+(Inputs!$E$4*$C3))^(3-1))*Inputs!$E$5)*Inputs!$E$6)+((Inputs!$E$7*(1+Inputs!$E$8)^(3-1))*Inputs!$E$9)+(Inputs!$E$11*(1+Inputs!$E$12)^(3-1))+(IF(3&lt;Inputs!$E$13,0,Inputs!$E$14*(1+Inputs!$E$15)^(3-Inputs!$E$13)*Inputs!$E$16))))*Inputs!$E$29))+((Inputs!$E$19+Inputs!$E$20+Inputs!$E$21+Inputs!$E$22+Inputs!$E$23))+(IF(AND(Inputs!$E$24&gt;0,3=Inputs!$E$24),Inputs!$E$25,0))+(MAX((((((((Inputs!$E$3*(1+(Inputs!$E$4*$C3))^(3-1))*Inputs!$E$5)*Inputs!$E$6)+((Inputs!$E$7*(1+Inputs!$E$8)^(3-1))*Inputs!$E$9)+(Inputs!$E$11*(1+Inputs!$E$12)^(3-1))+(IF(3&lt;Inputs!$E$13,0,Inputs!$E$14*(1+Inputs!$E$15)^(3-Inputs!$E$13)*Inputs!$E$16))))-(((((((Inputs!$E$3*(1+(Inputs!$E$4*$C3))^(3-1))*Inputs!$E$5)*Inputs!$E$6)+((Inputs!$E$7*(1+Inputs!$E$8)^(3-1))*Inputs!$E$9)+(Inputs!$E$11*(1+Inputs!$E$12)^(3-1))+(IF(3&lt;Inputs!$E$13,0,Inputs!$E$14*(1+Inputs!$E$15)^(3-Inputs!$E$13)*Inputs!$E$16))))*Inputs!$E$26+((((Inputs!$E$3*(1+(Inputs!$E$4*$C3))^(3-1))*Inputs!$E$5)*Inputs!$E$6)+((Inputs!$E$7*(1+Inputs!$E$8)^(3-1))*Inputs!$E$9)+(IF(3&lt;Inputs!$E$13,0,Inputs!$E$14*(1+Inputs!$E$15)^(3-Inputs!$E$13)*Inputs!$E$16)))*Inputs!$E$27+(Inputs!$E$3*(1+(Inputs!$E$4*$C3))^(3-1))*Inputs!$E$30))-(((Inputs!$E$7*(1+Inputs!$E$8)^(3-1))*Inputs!$E$10))-(((((((Inputs!$E$3*(1+(Inputs!$E$4*$C3))^(3-1))*Inputs!$E$5)*Inputs!$E$6)+((Inputs!$E$7*(1+Inputs!$E$8)^(3-1))*Inputs!$E$9)+(Inputs!$E$11*(1+Inputs!$E$12)^(3-1))+(IF(3&lt;Inputs!$E$13,0,Inputs!$E$14*(1+Inputs!$E$15)^(3-Inputs!$E$13)*Inputs!$E$16))))*Inputs!$E$29))-((Inputs!$E$19+Inputs!$E$20+Inputs!$E$21+Inputs!$E$22+Inputs!$E$23))-(IF(AND(Inputs!$E$24&gt;0,3=Inputs!$E$24),Inputs!$E$25,0)))),0)*Inputs!$E$28))))+(IF(AND(Inputs!$E$17&gt;0,3=Inputs!$E$17),Inputs!$E$18,0))))</f>
        <v/>
      </c>
      <c r="J3" s="8">
        <f>I3+(((((((((Inputs!$E$3*(1+(Inputs!$E$4*$C3))^(4-1))*Inputs!$E$5)*Inputs!$E$6)+((Inputs!$E$7*(1+Inputs!$E$8)^(4-1))*Inputs!$E$9)+(Inputs!$E$11*(1+Inputs!$E$12)^(4-1))+(IF(4&lt;Inputs!$E$13,0,Inputs!$E$14*(1+Inputs!$E$15)^(4-Inputs!$E$13)*Inputs!$E$16))))-((((((((Inputs!$E$3*(1+(Inputs!$E$4*$C3))^(4-1))*Inputs!$E$5)*Inputs!$E$6)+((Inputs!$E$7*(1+Inputs!$E$8)^(4-1))*Inputs!$E$9)+(Inputs!$E$11*(1+Inputs!$E$12)^(4-1))+(IF(4&lt;Inputs!$E$13,0,Inputs!$E$14*(1+Inputs!$E$15)^(4-Inputs!$E$13)*Inputs!$E$16))))*Inputs!$E$26+((((Inputs!$E$3*(1+(Inputs!$E$4*$C3))^(4-1))*Inputs!$E$5)*Inputs!$E$6)+((Inputs!$E$7*(1+Inputs!$E$8)^(4-1))*Inputs!$E$9)+(IF(4&lt;Inputs!$E$13,0,Inputs!$E$14*(1+Inputs!$E$15)^(4-Inputs!$E$13)*Inputs!$E$16)))*Inputs!$E$27+(Inputs!$E$3*(1+(Inputs!$E$4*$C3))^(4-1))*Inputs!$E$30))+(((Inputs!$E$7*(1+Inputs!$E$8)^(4-1))*Inputs!$E$10))+(((((((Inputs!$E$3*(1+(Inputs!$E$4*$C3))^(4-1))*Inputs!$E$5)*Inputs!$E$6)+((Inputs!$E$7*(1+Inputs!$E$8)^(4-1))*Inputs!$E$9)+(Inputs!$E$11*(1+Inputs!$E$12)^(4-1))+(IF(4&lt;Inputs!$E$13,0,Inputs!$E$14*(1+Inputs!$E$15)^(4-Inputs!$E$13)*Inputs!$E$16))))*Inputs!$E$29))+((Inputs!$E$19+Inputs!$E$20+Inputs!$E$21+Inputs!$E$22+Inputs!$E$23))+(IF(AND(Inputs!$E$24&gt;0,4=Inputs!$E$24),Inputs!$E$25,0))+(MAX((((((((Inputs!$E$3*(1+(Inputs!$E$4*$C3))^(4-1))*Inputs!$E$5)*Inputs!$E$6)+((Inputs!$E$7*(1+Inputs!$E$8)^(4-1))*Inputs!$E$9)+(Inputs!$E$11*(1+Inputs!$E$12)^(4-1))+(IF(4&lt;Inputs!$E$13,0,Inputs!$E$14*(1+Inputs!$E$15)^(4-Inputs!$E$13)*Inputs!$E$16))))-(((((((Inputs!$E$3*(1+(Inputs!$E$4*$C3))^(4-1))*Inputs!$E$5)*Inputs!$E$6)+((Inputs!$E$7*(1+Inputs!$E$8)^(4-1))*Inputs!$E$9)+(Inputs!$E$11*(1+Inputs!$E$12)^(4-1))+(IF(4&lt;Inputs!$E$13,0,Inputs!$E$14*(1+Inputs!$E$15)^(4-Inputs!$E$13)*Inputs!$E$16))))*Inputs!$E$26+((((Inputs!$E$3*(1+(Inputs!$E$4*$C3))^(4-1))*Inputs!$E$5)*Inputs!$E$6)+((Inputs!$E$7*(1+Inputs!$E$8)^(4-1))*Inputs!$E$9)+(IF(4&lt;Inputs!$E$13,0,Inputs!$E$14*(1+Inputs!$E$15)^(4-Inputs!$E$13)*Inputs!$E$16)))*Inputs!$E$27+(Inputs!$E$3*(1+(Inputs!$E$4*$C3))^(4-1))*Inputs!$E$30))-(((Inputs!$E$7*(1+Inputs!$E$8)^(4-1))*Inputs!$E$10))-(((((((Inputs!$E$3*(1+(Inputs!$E$4*$C3))^(4-1))*Inputs!$E$5)*Inputs!$E$6)+((Inputs!$E$7*(1+Inputs!$E$8)^(4-1))*Inputs!$E$9)+(Inputs!$E$11*(1+Inputs!$E$12)^(4-1))+(IF(4&lt;Inputs!$E$13,0,Inputs!$E$14*(1+Inputs!$E$15)^(4-Inputs!$E$13)*Inputs!$E$16))))*Inputs!$E$29))-((Inputs!$E$19+Inputs!$E$20+Inputs!$E$21+Inputs!$E$22+Inputs!$E$23))-(IF(AND(Inputs!$E$24&gt;0,4=Inputs!$E$24),Inputs!$E$25,0)))),0)*Inputs!$E$28))))+(IF(AND(Inputs!$E$17&gt;0,4=Inputs!$E$17),Inputs!$E$18,0))))</f>
        <v/>
      </c>
      <c r="K3" s="8">
        <f>J3+(((((((((Inputs!$E$3*(1+(Inputs!$E$4*$C3))^(5-1))*Inputs!$E$5)*Inputs!$E$6)+((Inputs!$E$7*(1+Inputs!$E$8)^(5-1))*Inputs!$E$9)+(Inputs!$E$11*(1+Inputs!$E$12)^(5-1))+(IF(5&lt;Inputs!$E$13,0,Inputs!$E$14*(1+Inputs!$E$15)^(5-Inputs!$E$13)*Inputs!$E$16))))-((((((((Inputs!$E$3*(1+(Inputs!$E$4*$C3))^(5-1))*Inputs!$E$5)*Inputs!$E$6)+((Inputs!$E$7*(1+Inputs!$E$8)^(5-1))*Inputs!$E$9)+(Inputs!$E$11*(1+Inputs!$E$12)^(5-1))+(IF(5&lt;Inputs!$E$13,0,Inputs!$E$14*(1+Inputs!$E$15)^(5-Inputs!$E$13)*Inputs!$E$16))))*Inputs!$E$26+((((Inputs!$E$3*(1+(Inputs!$E$4*$C3))^(5-1))*Inputs!$E$5)*Inputs!$E$6)+((Inputs!$E$7*(1+Inputs!$E$8)^(5-1))*Inputs!$E$9)+(IF(5&lt;Inputs!$E$13,0,Inputs!$E$14*(1+Inputs!$E$15)^(5-Inputs!$E$13)*Inputs!$E$16)))*Inputs!$E$27+(Inputs!$E$3*(1+(Inputs!$E$4*$C3))^(5-1))*Inputs!$E$30))+(((Inputs!$E$7*(1+Inputs!$E$8)^(5-1))*Inputs!$E$10))+(((((((Inputs!$E$3*(1+(Inputs!$E$4*$C3))^(5-1))*Inputs!$E$5)*Inputs!$E$6)+((Inputs!$E$7*(1+Inputs!$E$8)^(5-1))*Inputs!$E$9)+(Inputs!$E$11*(1+Inputs!$E$12)^(5-1))+(IF(5&lt;Inputs!$E$13,0,Inputs!$E$14*(1+Inputs!$E$15)^(5-Inputs!$E$13)*Inputs!$E$16))))*Inputs!$E$29))+((Inputs!$E$19+Inputs!$E$20+Inputs!$E$21+Inputs!$E$22+Inputs!$E$23))+(IF(AND(Inputs!$E$24&gt;0,5=Inputs!$E$24),Inputs!$E$25,0))+(MAX((((((((Inputs!$E$3*(1+(Inputs!$E$4*$C3))^(5-1))*Inputs!$E$5)*Inputs!$E$6)+((Inputs!$E$7*(1+Inputs!$E$8)^(5-1))*Inputs!$E$9)+(Inputs!$E$11*(1+Inputs!$E$12)^(5-1))+(IF(5&lt;Inputs!$E$13,0,Inputs!$E$14*(1+Inputs!$E$15)^(5-Inputs!$E$13)*Inputs!$E$16))))-(((((((Inputs!$E$3*(1+(Inputs!$E$4*$C3))^(5-1))*Inputs!$E$5)*Inputs!$E$6)+((Inputs!$E$7*(1+Inputs!$E$8)^(5-1))*Inputs!$E$9)+(Inputs!$E$11*(1+Inputs!$E$12)^(5-1))+(IF(5&lt;Inputs!$E$13,0,Inputs!$E$14*(1+Inputs!$E$15)^(5-Inputs!$E$13)*Inputs!$E$16))))*Inputs!$E$26+((((Inputs!$E$3*(1+(Inputs!$E$4*$C3))^(5-1))*Inputs!$E$5)*Inputs!$E$6)+((Inputs!$E$7*(1+Inputs!$E$8)^(5-1))*Inputs!$E$9)+(IF(5&lt;Inputs!$E$13,0,Inputs!$E$14*(1+Inputs!$E$15)^(5-Inputs!$E$13)*Inputs!$E$16)))*Inputs!$E$27+(Inputs!$E$3*(1+(Inputs!$E$4*$C3))^(5-1))*Inputs!$E$30))-(((Inputs!$E$7*(1+Inputs!$E$8)^(5-1))*Inputs!$E$10))-(((((((Inputs!$E$3*(1+(Inputs!$E$4*$C3))^(5-1))*Inputs!$E$5)*Inputs!$E$6)+((Inputs!$E$7*(1+Inputs!$E$8)^(5-1))*Inputs!$E$9)+(Inputs!$E$11*(1+Inputs!$E$12)^(5-1))+(IF(5&lt;Inputs!$E$13,0,Inputs!$E$14*(1+Inputs!$E$15)^(5-Inputs!$E$13)*Inputs!$E$16))))*Inputs!$E$29))-((Inputs!$E$19+Inputs!$E$20+Inputs!$E$21+Inputs!$E$22+Inputs!$E$23))-(IF(AND(Inputs!$E$24&gt;0,5=Inputs!$E$24),Inputs!$E$25,0)))),0)*Inputs!$E$28))))+(IF(AND(Inputs!$E$17&gt;0,5=Inputs!$E$17),Inputs!$E$18,0))))</f>
        <v/>
      </c>
      <c r="L3" s="8">
        <f>K3+(((((((((Inputs!$E$3*(1+(Inputs!$E$4*$C3))^(6-1))*Inputs!$E$5)*Inputs!$E$6)+((Inputs!$E$7*(1+Inputs!$E$8)^(6-1))*Inputs!$E$9)+(Inputs!$E$11*(1+Inputs!$E$12)^(6-1))+(IF(6&lt;Inputs!$E$13,0,Inputs!$E$14*(1+Inputs!$E$15)^(6-Inputs!$E$13)*Inputs!$E$16))))-((((((((Inputs!$E$3*(1+(Inputs!$E$4*$C3))^(6-1))*Inputs!$E$5)*Inputs!$E$6)+((Inputs!$E$7*(1+Inputs!$E$8)^(6-1))*Inputs!$E$9)+(Inputs!$E$11*(1+Inputs!$E$12)^(6-1))+(IF(6&lt;Inputs!$E$13,0,Inputs!$E$14*(1+Inputs!$E$15)^(6-Inputs!$E$13)*Inputs!$E$16))))*Inputs!$E$26+((((Inputs!$E$3*(1+(Inputs!$E$4*$C3))^(6-1))*Inputs!$E$5)*Inputs!$E$6)+((Inputs!$E$7*(1+Inputs!$E$8)^(6-1))*Inputs!$E$9)+(IF(6&lt;Inputs!$E$13,0,Inputs!$E$14*(1+Inputs!$E$15)^(6-Inputs!$E$13)*Inputs!$E$16)))*Inputs!$E$27+(Inputs!$E$3*(1+(Inputs!$E$4*$C3))^(6-1))*Inputs!$E$30))+(((Inputs!$E$7*(1+Inputs!$E$8)^(6-1))*Inputs!$E$10))+(((((((Inputs!$E$3*(1+(Inputs!$E$4*$C3))^(6-1))*Inputs!$E$5)*Inputs!$E$6)+((Inputs!$E$7*(1+Inputs!$E$8)^(6-1))*Inputs!$E$9)+(Inputs!$E$11*(1+Inputs!$E$12)^(6-1))+(IF(6&lt;Inputs!$E$13,0,Inputs!$E$14*(1+Inputs!$E$15)^(6-Inputs!$E$13)*Inputs!$E$16))))*Inputs!$E$29))+((Inputs!$E$19+Inputs!$E$20+Inputs!$E$21+Inputs!$E$22+Inputs!$E$23))+(IF(AND(Inputs!$E$24&gt;0,6=Inputs!$E$24),Inputs!$E$25,0))+(MAX((((((((Inputs!$E$3*(1+(Inputs!$E$4*$C3))^(6-1))*Inputs!$E$5)*Inputs!$E$6)+((Inputs!$E$7*(1+Inputs!$E$8)^(6-1))*Inputs!$E$9)+(Inputs!$E$11*(1+Inputs!$E$12)^(6-1))+(IF(6&lt;Inputs!$E$13,0,Inputs!$E$14*(1+Inputs!$E$15)^(6-Inputs!$E$13)*Inputs!$E$16))))-(((((((Inputs!$E$3*(1+(Inputs!$E$4*$C3))^(6-1))*Inputs!$E$5)*Inputs!$E$6)+((Inputs!$E$7*(1+Inputs!$E$8)^(6-1))*Inputs!$E$9)+(Inputs!$E$11*(1+Inputs!$E$12)^(6-1))+(IF(6&lt;Inputs!$E$13,0,Inputs!$E$14*(1+Inputs!$E$15)^(6-Inputs!$E$13)*Inputs!$E$16))))*Inputs!$E$26+((((Inputs!$E$3*(1+(Inputs!$E$4*$C3))^(6-1))*Inputs!$E$5)*Inputs!$E$6)+((Inputs!$E$7*(1+Inputs!$E$8)^(6-1))*Inputs!$E$9)+(IF(6&lt;Inputs!$E$13,0,Inputs!$E$14*(1+Inputs!$E$15)^(6-Inputs!$E$13)*Inputs!$E$16)))*Inputs!$E$27+(Inputs!$E$3*(1+(Inputs!$E$4*$C3))^(6-1))*Inputs!$E$30))-(((Inputs!$E$7*(1+Inputs!$E$8)^(6-1))*Inputs!$E$10))-(((((((Inputs!$E$3*(1+(Inputs!$E$4*$C3))^(6-1))*Inputs!$E$5)*Inputs!$E$6)+((Inputs!$E$7*(1+Inputs!$E$8)^(6-1))*Inputs!$E$9)+(Inputs!$E$11*(1+Inputs!$E$12)^(6-1))+(IF(6&lt;Inputs!$E$13,0,Inputs!$E$14*(1+Inputs!$E$15)^(6-Inputs!$E$13)*Inputs!$E$16))))*Inputs!$E$29))-((Inputs!$E$19+Inputs!$E$20+Inputs!$E$21+Inputs!$E$22+Inputs!$E$23))-(IF(AND(Inputs!$E$24&gt;0,6=Inputs!$E$24),Inputs!$E$25,0)))),0)*Inputs!$E$28))))+(IF(AND(Inputs!$E$17&gt;0,6=Inputs!$E$17),Inputs!$E$18,0))))</f>
        <v/>
      </c>
      <c r="M3" s="8">
        <f>L3+(((((((((Inputs!$E$3*(1+(Inputs!$E$4*$C3))^(7-1))*Inputs!$E$5)*Inputs!$E$6)+((Inputs!$E$7*(1+Inputs!$E$8)^(7-1))*Inputs!$E$9)+(Inputs!$E$11*(1+Inputs!$E$12)^(7-1))+(IF(7&lt;Inputs!$E$13,0,Inputs!$E$14*(1+Inputs!$E$15)^(7-Inputs!$E$13)*Inputs!$E$16))))-((((((((Inputs!$E$3*(1+(Inputs!$E$4*$C3))^(7-1))*Inputs!$E$5)*Inputs!$E$6)+((Inputs!$E$7*(1+Inputs!$E$8)^(7-1))*Inputs!$E$9)+(Inputs!$E$11*(1+Inputs!$E$12)^(7-1))+(IF(7&lt;Inputs!$E$13,0,Inputs!$E$14*(1+Inputs!$E$15)^(7-Inputs!$E$13)*Inputs!$E$16))))*Inputs!$E$26+((((Inputs!$E$3*(1+(Inputs!$E$4*$C3))^(7-1))*Inputs!$E$5)*Inputs!$E$6)+((Inputs!$E$7*(1+Inputs!$E$8)^(7-1))*Inputs!$E$9)+(IF(7&lt;Inputs!$E$13,0,Inputs!$E$14*(1+Inputs!$E$15)^(7-Inputs!$E$13)*Inputs!$E$16)))*Inputs!$E$27+(Inputs!$E$3*(1+(Inputs!$E$4*$C3))^(7-1))*Inputs!$E$30))+(((Inputs!$E$7*(1+Inputs!$E$8)^(7-1))*Inputs!$E$10))+(((((((Inputs!$E$3*(1+(Inputs!$E$4*$C3))^(7-1))*Inputs!$E$5)*Inputs!$E$6)+((Inputs!$E$7*(1+Inputs!$E$8)^(7-1))*Inputs!$E$9)+(Inputs!$E$11*(1+Inputs!$E$12)^(7-1))+(IF(7&lt;Inputs!$E$13,0,Inputs!$E$14*(1+Inputs!$E$15)^(7-Inputs!$E$13)*Inputs!$E$16))))*Inputs!$E$29))+((Inputs!$E$19+Inputs!$E$20+Inputs!$E$21+Inputs!$E$22+Inputs!$E$23))+(IF(AND(Inputs!$E$24&gt;0,7=Inputs!$E$24),Inputs!$E$25,0))+(MAX((((((((Inputs!$E$3*(1+(Inputs!$E$4*$C3))^(7-1))*Inputs!$E$5)*Inputs!$E$6)+((Inputs!$E$7*(1+Inputs!$E$8)^(7-1))*Inputs!$E$9)+(Inputs!$E$11*(1+Inputs!$E$12)^(7-1))+(IF(7&lt;Inputs!$E$13,0,Inputs!$E$14*(1+Inputs!$E$15)^(7-Inputs!$E$13)*Inputs!$E$16))))-(((((((Inputs!$E$3*(1+(Inputs!$E$4*$C3))^(7-1))*Inputs!$E$5)*Inputs!$E$6)+((Inputs!$E$7*(1+Inputs!$E$8)^(7-1))*Inputs!$E$9)+(Inputs!$E$11*(1+Inputs!$E$12)^(7-1))+(IF(7&lt;Inputs!$E$13,0,Inputs!$E$14*(1+Inputs!$E$15)^(7-Inputs!$E$13)*Inputs!$E$16))))*Inputs!$E$26+((((Inputs!$E$3*(1+(Inputs!$E$4*$C3))^(7-1))*Inputs!$E$5)*Inputs!$E$6)+((Inputs!$E$7*(1+Inputs!$E$8)^(7-1))*Inputs!$E$9)+(IF(7&lt;Inputs!$E$13,0,Inputs!$E$14*(1+Inputs!$E$15)^(7-Inputs!$E$13)*Inputs!$E$16)))*Inputs!$E$27+(Inputs!$E$3*(1+(Inputs!$E$4*$C3))^(7-1))*Inputs!$E$30))-(((Inputs!$E$7*(1+Inputs!$E$8)^(7-1))*Inputs!$E$10))-(((((((Inputs!$E$3*(1+(Inputs!$E$4*$C3))^(7-1))*Inputs!$E$5)*Inputs!$E$6)+((Inputs!$E$7*(1+Inputs!$E$8)^(7-1))*Inputs!$E$9)+(Inputs!$E$11*(1+Inputs!$E$12)^(7-1))+(IF(7&lt;Inputs!$E$13,0,Inputs!$E$14*(1+Inputs!$E$15)^(7-Inputs!$E$13)*Inputs!$E$16))))*Inputs!$E$29))-((Inputs!$E$19+Inputs!$E$20+Inputs!$E$21+Inputs!$E$22+Inputs!$E$23))-(IF(AND(Inputs!$E$24&gt;0,7=Inputs!$E$24),Inputs!$E$25,0)))),0)*Inputs!$E$28))))+(IF(AND(Inputs!$E$17&gt;0,7=Inputs!$E$17),Inputs!$E$18,0))))</f>
        <v/>
      </c>
      <c r="N3" s="8">
        <f>M3+(((((((((Inputs!$E$3*(1+(Inputs!$E$4*$C3))^(8-1))*Inputs!$E$5)*Inputs!$E$6)+((Inputs!$E$7*(1+Inputs!$E$8)^(8-1))*Inputs!$E$9)+(Inputs!$E$11*(1+Inputs!$E$12)^(8-1))+(IF(8&lt;Inputs!$E$13,0,Inputs!$E$14*(1+Inputs!$E$15)^(8-Inputs!$E$13)*Inputs!$E$16))))-((((((((Inputs!$E$3*(1+(Inputs!$E$4*$C3))^(8-1))*Inputs!$E$5)*Inputs!$E$6)+((Inputs!$E$7*(1+Inputs!$E$8)^(8-1))*Inputs!$E$9)+(Inputs!$E$11*(1+Inputs!$E$12)^(8-1))+(IF(8&lt;Inputs!$E$13,0,Inputs!$E$14*(1+Inputs!$E$15)^(8-Inputs!$E$13)*Inputs!$E$16))))*Inputs!$E$26+((((Inputs!$E$3*(1+(Inputs!$E$4*$C3))^(8-1))*Inputs!$E$5)*Inputs!$E$6)+((Inputs!$E$7*(1+Inputs!$E$8)^(8-1))*Inputs!$E$9)+(IF(8&lt;Inputs!$E$13,0,Inputs!$E$14*(1+Inputs!$E$15)^(8-Inputs!$E$13)*Inputs!$E$16)))*Inputs!$E$27+(Inputs!$E$3*(1+(Inputs!$E$4*$C3))^(8-1))*Inputs!$E$30))+(((Inputs!$E$7*(1+Inputs!$E$8)^(8-1))*Inputs!$E$10))+(((((((Inputs!$E$3*(1+(Inputs!$E$4*$C3))^(8-1))*Inputs!$E$5)*Inputs!$E$6)+((Inputs!$E$7*(1+Inputs!$E$8)^(8-1))*Inputs!$E$9)+(Inputs!$E$11*(1+Inputs!$E$12)^(8-1))+(IF(8&lt;Inputs!$E$13,0,Inputs!$E$14*(1+Inputs!$E$15)^(8-Inputs!$E$13)*Inputs!$E$16))))*Inputs!$E$29))+((Inputs!$E$19+Inputs!$E$20+Inputs!$E$21+Inputs!$E$22+Inputs!$E$23))+(IF(AND(Inputs!$E$24&gt;0,8=Inputs!$E$24),Inputs!$E$25,0))+(MAX((((((((Inputs!$E$3*(1+(Inputs!$E$4*$C3))^(8-1))*Inputs!$E$5)*Inputs!$E$6)+((Inputs!$E$7*(1+Inputs!$E$8)^(8-1))*Inputs!$E$9)+(Inputs!$E$11*(1+Inputs!$E$12)^(8-1))+(IF(8&lt;Inputs!$E$13,0,Inputs!$E$14*(1+Inputs!$E$15)^(8-Inputs!$E$13)*Inputs!$E$16))))-(((((((Inputs!$E$3*(1+(Inputs!$E$4*$C3))^(8-1))*Inputs!$E$5)*Inputs!$E$6)+((Inputs!$E$7*(1+Inputs!$E$8)^(8-1))*Inputs!$E$9)+(Inputs!$E$11*(1+Inputs!$E$12)^(8-1))+(IF(8&lt;Inputs!$E$13,0,Inputs!$E$14*(1+Inputs!$E$15)^(8-Inputs!$E$13)*Inputs!$E$16))))*Inputs!$E$26+((((Inputs!$E$3*(1+(Inputs!$E$4*$C3))^(8-1))*Inputs!$E$5)*Inputs!$E$6)+((Inputs!$E$7*(1+Inputs!$E$8)^(8-1))*Inputs!$E$9)+(IF(8&lt;Inputs!$E$13,0,Inputs!$E$14*(1+Inputs!$E$15)^(8-Inputs!$E$13)*Inputs!$E$16)))*Inputs!$E$27+(Inputs!$E$3*(1+(Inputs!$E$4*$C3))^(8-1))*Inputs!$E$30))-(((Inputs!$E$7*(1+Inputs!$E$8)^(8-1))*Inputs!$E$10))-(((((((Inputs!$E$3*(1+(Inputs!$E$4*$C3))^(8-1))*Inputs!$E$5)*Inputs!$E$6)+((Inputs!$E$7*(1+Inputs!$E$8)^(8-1))*Inputs!$E$9)+(Inputs!$E$11*(1+Inputs!$E$12)^(8-1))+(IF(8&lt;Inputs!$E$13,0,Inputs!$E$14*(1+Inputs!$E$15)^(8-Inputs!$E$13)*Inputs!$E$16))))*Inputs!$E$29))-((Inputs!$E$19+Inputs!$E$20+Inputs!$E$21+Inputs!$E$22+Inputs!$E$23))-(IF(AND(Inputs!$E$24&gt;0,8=Inputs!$E$24),Inputs!$E$25,0)))),0)*Inputs!$E$28))))+(IF(AND(Inputs!$E$17&gt;0,8=Inputs!$E$17),Inputs!$E$18,0))))</f>
        <v/>
      </c>
      <c r="O3" s="8">
        <f>N3+(((((((((Inputs!$E$3*(1+(Inputs!$E$4*$C3))^(9-1))*Inputs!$E$5)*Inputs!$E$6)+((Inputs!$E$7*(1+Inputs!$E$8)^(9-1))*Inputs!$E$9)+(Inputs!$E$11*(1+Inputs!$E$12)^(9-1))+(IF(9&lt;Inputs!$E$13,0,Inputs!$E$14*(1+Inputs!$E$15)^(9-Inputs!$E$13)*Inputs!$E$16))))-((((((((Inputs!$E$3*(1+(Inputs!$E$4*$C3))^(9-1))*Inputs!$E$5)*Inputs!$E$6)+((Inputs!$E$7*(1+Inputs!$E$8)^(9-1))*Inputs!$E$9)+(Inputs!$E$11*(1+Inputs!$E$12)^(9-1))+(IF(9&lt;Inputs!$E$13,0,Inputs!$E$14*(1+Inputs!$E$15)^(9-Inputs!$E$13)*Inputs!$E$16))))*Inputs!$E$26+((((Inputs!$E$3*(1+(Inputs!$E$4*$C3))^(9-1))*Inputs!$E$5)*Inputs!$E$6)+((Inputs!$E$7*(1+Inputs!$E$8)^(9-1))*Inputs!$E$9)+(IF(9&lt;Inputs!$E$13,0,Inputs!$E$14*(1+Inputs!$E$15)^(9-Inputs!$E$13)*Inputs!$E$16)))*Inputs!$E$27+(Inputs!$E$3*(1+(Inputs!$E$4*$C3))^(9-1))*Inputs!$E$30))+(((Inputs!$E$7*(1+Inputs!$E$8)^(9-1))*Inputs!$E$10))+(((((((Inputs!$E$3*(1+(Inputs!$E$4*$C3))^(9-1))*Inputs!$E$5)*Inputs!$E$6)+((Inputs!$E$7*(1+Inputs!$E$8)^(9-1))*Inputs!$E$9)+(Inputs!$E$11*(1+Inputs!$E$12)^(9-1))+(IF(9&lt;Inputs!$E$13,0,Inputs!$E$14*(1+Inputs!$E$15)^(9-Inputs!$E$13)*Inputs!$E$16))))*Inputs!$E$29))+((Inputs!$E$19+Inputs!$E$20+Inputs!$E$21+Inputs!$E$22+Inputs!$E$23))+(IF(AND(Inputs!$E$24&gt;0,9=Inputs!$E$24),Inputs!$E$25,0))+(MAX((((((((Inputs!$E$3*(1+(Inputs!$E$4*$C3))^(9-1))*Inputs!$E$5)*Inputs!$E$6)+((Inputs!$E$7*(1+Inputs!$E$8)^(9-1))*Inputs!$E$9)+(Inputs!$E$11*(1+Inputs!$E$12)^(9-1))+(IF(9&lt;Inputs!$E$13,0,Inputs!$E$14*(1+Inputs!$E$15)^(9-Inputs!$E$13)*Inputs!$E$16))))-(((((((Inputs!$E$3*(1+(Inputs!$E$4*$C3))^(9-1))*Inputs!$E$5)*Inputs!$E$6)+((Inputs!$E$7*(1+Inputs!$E$8)^(9-1))*Inputs!$E$9)+(Inputs!$E$11*(1+Inputs!$E$12)^(9-1))+(IF(9&lt;Inputs!$E$13,0,Inputs!$E$14*(1+Inputs!$E$15)^(9-Inputs!$E$13)*Inputs!$E$16))))*Inputs!$E$26+((((Inputs!$E$3*(1+(Inputs!$E$4*$C3))^(9-1))*Inputs!$E$5)*Inputs!$E$6)+((Inputs!$E$7*(1+Inputs!$E$8)^(9-1))*Inputs!$E$9)+(IF(9&lt;Inputs!$E$13,0,Inputs!$E$14*(1+Inputs!$E$15)^(9-Inputs!$E$13)*Inputs!$E$16)))*Inputs!$E$27+(Inputs!$E$3*(1+(Inputs!$E$4*$C3))^(9-1))*Inputs!$E$30))-(((Inputs!$E$7*(1+Inputs!$E$8)^(9-1))*Inputs!$E$10))-(((((((Inputs!$E$3*(1+(Inputs!$E$4*$C3))^(9-1))*Inputs!$E$5)*Inputs!$E$6)+((Inputs!$E$7*(1+Inputs!$E$8)^(9-1))*Inputs!$E$9)+(Inputs!$E$11*(1+Inputs!$E$12)^(9-1))+(IF(9&lt;Inputs!$E$13,0,Inputs!$E$14*(1+Inputs!$E$15)^(9-Inputs!$E$13)*Inputs!$E$16))))*Inputs!$E$29))-((Inputs!$E$19+Inputs!$E$20+Inputs!$E$21+Inputs!$E$22+Inputs!$E$23))-(IF(AND(Inputs!$E$24&gt;0,9=Inputs!$E$24),Inputs!$E$25,0)))),0)*Inputs!$E$28))))+(IF(AND(Inputs!$E$17&gt;0,9=Inputs!$E$17),Inputs!$E$18,0))))</f>
        <v/>
      </c>
      <c r="P3" s="8">
        <f>O3+(((((((((Inputs!$E$3*(1+(Inputs!$E$4*$C3))^(10-1))*Inputs!$E$5)*Inputs!$E$6)+((Inputs!$E$7*(1+Inputs!$E$8)^(10-1))*Inputs!$E$9)+(Inputs!$E$11*(1+Inputs!$E$12)^(10-1))+(IF(10&lt;Inputs!$E$13,0,Inputs!$E$14*(1+Inputs!$E$15)^(10-Inputs!$E$13)*Inputs!$E$16))))-((((((((Inputs!$E$3*(1+(Inputs!$E$4*$C3))^(10-1))*Inputs!$E$5)*Inputs!$E$6)+((Inputs!$E$7*(1+Inputs!$E$8)^(10-1))*Inputs!$E$9)+(Inputs!$E$11*(1+Inputs!$E$12)^(10-1))+(IF(10&lt;Inputs!$E$13,0,Inputs!$E$14*(1+Inputs!$E$15)^(10-Inputs!$E$13)*Inputs!$E$16))))*Inputs!$E$26+((((Inputs!$E$3*(1+(Inputs!$E$4*$C3))^(10-1))*Inputs!$E$5)*Inputs!$E$6)+((Inputs!$E$7*(1+Inputs!$E$8)^(10-1))*Inputs!$E$9)+(IF(10&lt;Inputs!$E$13,0,Inputs!$E$14*(1+Inputs!$E$15)^(10-Inputs!$E$13)*Inputs!$E$16)))*Inputs!$E$27+(Inputs!$E$3*(1+(Inputs!$E$4*$C3))^(10-1))*Inputs!$E$30))+(((Inputs!$E$7*(1+Inputs!$E$8)^(10-1))*Inputs!$E$10))+(((((((Inputs!$E$3*(1+(Inputs!$E$4*$C3))^(10-1))*Inputs!$E$5)*Inputs!$E$6)+((Inputs!$E$7*(1+Inputs!$E$8)^(10-1))*Inputs!$E$9)+(Inputs!$E$11*(1+Inputs!$E$12)^(10-1))+(IF(10&lt;Inputs!$E$13,0,Inputs!$E$14*(1+Inputs!$E$15)^(10-Inputs!$E$13)*Inputs!$E$16))))*Inputs!$E$29))+((Inputs!$E$19+Inputs!$E$20+Inputs!$E$21+Inputs!$E$22+Inputs!$E$23))+(IF(AND(Inputs!$E$24&gt;0,10=Inputs!$E$24),Inputs!$E$25,0))+(MAX((((((((Inputs!$E$3*(1+(Inputs!$E$4*$C3))^(10-1))*Inputs!$E$5)*Inputs!$E$6)+((Inputs!$E$7*(1+Inputs!$E$8)^(10-1))*Inputs!$E$9)+(Inputs!$E$11*(1+Inputs!$E$12)^(10-1))+(IF(10&lt;Inputs!$E$13,0,Inputs!$E$14*(1+Inputs!$E$15)^(10-Inputs!$E$13)*Inputs!$E$16))))-(((((((Inputs!$E$3*(1+(Inputs!$E$4*$C3))^(10-1))*Inputs!$E$5)*Inputs!$E$6)+((Inputs!$E$7*(1+Inputs!$E$8)^(10-1))*Inputs!$E$9)+(Inputs!$E$11*(1+Inputs!$E$12)^(10-1))+(IF(10&lt;Inputs!$E$13,0,Inputs!$E$14*(1+Inputs!$E$15)^(10-Inputs!$E$13)*Inputs!$E$16))))*Inputs!$E$26+((((Inputs!$E$3*(1+(Inputs!$E$4*$C3))^(10-1))*Inputs!$E$5)*Inputs!$E$6)+((Inputs!$E$7*(1+Inputs!$E$8)^(10-1))*Inputs!$E$9)+(IF(10&lt;Inputs!$E$13,0,Inputs!$E$14*(1+Inputs!$E$15)^(10-Inputs!$E$13)*Inputs!$E$16)))*Inputs!$E$27+(Inputs!$E$3*(1+(Inputs!$E$4*$C3))^(10-1))*Inputs!$E$30))-(((Inputs!$E$7*(1+Inputs!$E$8)^(10-1))*Inputs!$E$10))-(((((((Inputs!$E$3*(1+(Inputs!$E$4*$C3))^(10-1))*Inputs!$E$5)*Inputs!$E$6)+((Inputs!$E$7*(1+Inputs!$E$8)^(10-1))*Inputs!$E$9)+(Inputs!$E$11*(1+Inputs!$E$12)^(10-1))+(IF(10&lt;Inputs!$E$13,0,Inputs!$E$14*(1+Inputs!$E$15)^(10-Inputs!$E$13)*Inputs!$E$16))))*Inputs!$E$29))-((Inputs!$E$19+Inputs!$E$20+Inputs!$E$21+Inputs!$E$22+Inputs!$E$23))-(IF(AND(Inputs!$E$24&gt;0,10=Inputs!$E$24),Inputs!$E$25,0)))),0)*Inputs!$E$28))))+(IF(AND(Inputs!$E$17&gt;0,10=Inputs!$E$17),Inputs!$E$18,0))))</f>
        <v/>
      </c>
      <c r="Q3" s="8">
        <f>P3+(((((((((Inputs!$E$3*(1+(Inputs!$E$4*$C3))^(11-1))*Inputs!$E$5)*Inputs!$E$6)+((Inputs!$E$7*(1+Inputs!$E$8)^(11-1))*Inputs!$E$9)+(Inputs!$E$11*(1+Inputs!$E$12)^(11-1))+(IF(11&lt;Inputs!$E$13,0,Inputs!$E$14*(1+Inputs!$E$15)^(11-Inputs!$E$13)*Inputs!$E$16))))-((((((((Inputs!$E$3*(1+(Inputs!$E$4*$C3))^(11-1))*Inputs!$E$5)*Inputs!$E$6)+((Inputs!$E$7*(1+Inputs!$E$8)^(11-1))*Inputs!$E$9)+(Inputs!$E$11*(1+Inputs!$E$12)^(11-1))+(IF(11&lt;Inputs!$E$13,0,Inputs!$E$14*(1+Inputs!$E$15)^(11-Inputs!$E$13)*Inputs!$E$16))))*Inputs!$E$26+((((Inputs!$E$3*(1+(Inputs!$E$4*$C3))^(11-1))*Inputs!$E$5)*Inputs!$E$6)+((Inputs!$E$7*(1+Inputs!$E$8)^(11-1))*Inputs!$E$9)+(IF(11&lt;Inputs!$E$13,0,Inputs!$E$14*(1+Inputs!$E$15)^(11-Inputs!$E$13)*Inputs!$E$16)))*Inputs!$E$27+(Inputs!$E$3*(1+(Inputs!$E$4*$C3))^(11-1))*Inputs!$E$30))+(((Inputs!$E$7*(1+Inputs!$E$8)^(11-1))*Inputs!$E$10))+(((((((Inputs!$E$3*(1+(Inputs!$E$4*$C3))^(11-1))*Inputs!$E$5)*Inputs!$E$6)+((Inputs!$E$7*(1+Inputs!$E$8)^(11-1))*Inputs!$E$9)+(Inputs!$E$11*(1+Inputs!$E$12)^(11-1))+(IF(11&lt;Inputs!$E$13,0,Inputs!$E$14*(1+Inputs!$E$15)^(11-Inputs!$E$13)*Inputs!$E$16))))*Inputs!$E$29))+((Inputs!$E$19+Inputs!$E$20+Inputs!$E$21+Inputs!$E$22+Inputs!$E$23))+(IF(AND(Inputs!$E$24&gt;0,11=Inputs!$E$24),Inputs!$E$25,0))+(MAX((((((((Inputs!$E$3*(1+(Inputs!$E$4*$C3))^(11-1))*Inputs!$E$5)*Inputs!$E$6)+((Inputs!$E$7*(1+Inputs!$E$8)^(11-1))*Inputs!$E$9)+(Inputs!$E$11*(1+Inputs!$E$12)^(11-1))+(IF(11&lt;Inputs!$E$13,0,Inputs!$E$14*(1+Inputs!$E$15)^(11-Inputs!$E$13)*Inputs!$E$16))))-(((((((Inputs!$E$3*(1+(Inputs!$E$4*$C3))^(11-1))*Inputs!$E$5)*Inputs!$E$6)+((Inputs!$E$7*(1+Inputs!$E$8)^(11-1))*Inputs!$E$9)+(Inputs!$E$11*(1+Inputs!$E$12)^(11-1))+(IF(11&lt;Inputs!$E$13,0,Inputs!$E$14*(1+Inputs!$E$15)^(11-Inputs!$E$13)*Inputs!$E$16))))*Inputs!$E$26+((((Inputs!$E$3*(1+(Inputs!$E$4*$C3))^(11-1))*Inputs!$E$5)*Inputs!$E$6)+((Inputs!$E$7*(1+Inputs!$E$8)^(11-1))*Inputs!$E$9)+(IF(11&lt;Inputs!$E$13,0,Inputs!$E$14*(1+Inputs!$E$15)^(11-Inputs!$E$13)*Inputs!$E$16)))*Inputs!$E$27+(Inputs!$E$3*(1+(Inputs!$E$4*$C3))^(11-1))*Inputs!$E$30))-(((Inputs!$E$7*(1+Inputs!$E$8)^(11-1))*Inputs!$E$10))-(((((((Inputs!$E$3*(1+(Inputs!$E$4*$C3))^(11-1))*Inputs!$E$5)*Inputs!$E$6)+((Inputs!$E$7*(1+Inputs!$E$8)^(11-1))*Inputs!$E$9)+(Inputs!$E$11*(1+Inputs!$E$12)^(11-1))+(IF(11&lt;Inputs!$E$13,0,Inputs!$E$14*(1+Inputs!$E$15)^(11-Inputs!$E$13)*Inputs!$E$16))))*Inputs!$E$29))-((Inputs!$E$19+Inputs!$E$20+Inputs!$E$21+Inputs!$E$22+Inputs!$E$23))-(IF(AND(Inputs!$E$24&gt;0,11=Inputs!$E$24),Inputs!$E$25,0)))),0)*Inputs!$E$28))))+(IF(AND(Inputs!$E$17&gt;0,11=Inputs!$E$17),Inputs!$E$18,0))))</f>
        <v/>
      </c>
      <c r="R3" s="8">
        <f>Q3+(((((((((Inputs!$E$3*(1+(Inputs!$E$4*$C3))^(12-1))*Inputs!$E$5)*Inputs!$E$6)+((Inputs!$E$7*(1+Inputs!$E$8)^(12-1))*Inputs!$E$9)+(Inputs!$E$11*(1+Inputs!$E$12)^(12-1))+(IF(12&lt;Inputs!$E$13,0,Inputs!$E$14*(1+Inputs!$E$15)^(12-Inputs!$E$13)*Inputs!$E$16))))-((((((((Inputs!$E$3*(1+(Inputs!$E$4*$C3))^(12-1))*Inputs!$E$5)*Inputs!$E$6)+((Inputs!$E$7*(1+Inputs!$E$8)^(12-1))*Inputs!$E$9)+(Inputs!$E$11*(1+Inputs!$E$12)^(12-1))+(IF(12&lt;Inputs!$E$13,0,Inputs!$E$14*(1+Inputs!$E$15)^(12-Inputs!$E$13)*Inputs!$E$16))))*Inputs!$E$26+((((Inputs!$E$3*(1+(Inputs!$E$4*$C3))^(12-1))*Inputs!$E$5)*Inputs!$E$6)+((Inputs!$E$7*(1+Inputs!$E$8)^(12-1))*Inputs!$E$9)+(IF(12&lt;Inputs!$E$13,0,Inputs!$E$14*(1+Inputs!$E$15)^(12-Inputs!$E$13)*Inputs!$E$16)))*Inputs!$E$27+(Inputs!$E$3*(1+(Inputs!$E$4*$C3))^(12-1))*Inputs!$E$30))+(((Inputs!$E$7*(1+Inputs!$E$8)^(12-1))*Inputs!$E$10))+(((((((Inputs!$E$3*(1+(Inputs!$E$4*$C3))^(12-1))*Inputs!$E$5)*Inputs!$E$6)+((Inputs!$E$7*(1+Inputs!$E$8)^(12-1))*Inputs!$E$9)+(Inputs!$E$11*(1+Inputs!$E$12)^(12-1))+(IF(12&lt;Inputs!$E$13,0,Inputs!$E$14*(1+Inputs!$E$15)^(12-Inputs!$E$13)*Inputs!$E$16))))*Inputs!$E$29))+((Inputs!$E$19+Inputs!$E$20+Inputs!$E$21+Inputs!$E$22+Inputs!$E$23))+(IF(AND(Inputs!$E$24&gt;0,12=Inputs!$E$24),Inputs!$E$25,0))+(MAX((((((((Inputs!$E$3*(1+(Inputs!$E$4*$C3))^(12-1))*Inputs!$E$5)*Inputs!$E$6)+((Inputs!$E$7*(1+Inputs!$E$8)^(12-1))*Inputs!$E$9)+(Inputs!$E$11*(1+Inputs!$E$12)^(12-1))+(IF(12&lt;Inputs!$E$13,0,Inputs!$E$14*(1+Inputs!$E$15)^(12-Inputs!$E$13)*Inputs!$E$16))))-(((((((Inputs!$E$3*(1+(Inputs!$E$4*$C3))^(12-1))*Inputs!$E$5)*Inputs!$E$6)+((Inputs!$E$7*(1+Inputs!$E$8)^(12-1))*Inputs!$E$9)+(Inputs!$E$11*(1+Inputs!$E$12)^(12-1))+(IF(12&lt;Inputs!$E$13,0,Inputs!$E$14*(1+Inputs!$E$15)^(12-Inputs!$E$13)*Inputs!$E$16))))*Inputs!$E$26+((((Inputs!$E$3*(1+(Inputs!$E$4*$C3))^(12-1))*Inputs!$E$5)*Inputs!$E$6)+((Inputs!$E$7*(1+Inputs!$E$8)^(12-1))*Inputs!$E$9)+(IF(12&lt;Inputs!$E$13,0,Inputs!$E$14*(1+Inputs!$E$15)^(12-Inputs!$E$13)*Inputs!$E$16)))*Inputs!$E$27+(Inputs!$E$3*(1+(Inputs!$E$4*$C3))^(12-1))*Inputs!$E$30))-(((Inputs!$E$7*(1+Inputs!$E$8)^(12-1))*Inputs!$E$10))-(((((((Inputs!$E$3*(1+(Inputs!$E$4*$C3))^(12-1))*Inputs!$E$5)*Inputs!$E$6)+((Inputs!$E$7*(1+Inputs!$E$8)^(12-1))*Inputs!$E$9)+(Inputs!$E$11*(1+Inputs!$E$12)^(12-1))+(IF(12&lt;Inputs!$E$13,0,Inputs!$E$14*(1+Inputs!$E$15)^(12-Inputs!$E$13)*Inputs!$E$16))))*Inputs!$E$29))-((Inputs!$E$19+Inputs!$E$20+Inputs!$E$21+Inputs!$E$22+Inputs!$E$23))-(IF(AND(Inputs!$E$24&gt;0,12=Inputs!$E$24),Inputs!$E$25,0)))),0)*Inputs!$E$28))))+(IF(AND(Inputs!$E$17&gt;0,12=Inputs!$E$17),Inputs!$E$18,0))))</f>
        <v/>
      </c>
      <c r="S3" s="8">
        <f>R3+(((((((((Inputs!$E$3*(1+(Inputs!$E$4*$C3))^(13-1))*Inputs!$E$5)*Inputs!$E$6)+((Inputs!$E$7*(1+Inputs!$E$8)^(13-1))*Inputs!$E$9)+(Inputs!$E$11*(1+Inputs!$E$12)^(13-1))+(IF(13&lt;Inputs!$E$13,0,Inputs!$E$14*(1+Inputs!$E$15)^(13-Inputs!$E$13)*Inputs!$E$16))))-((((((((Inputs!$E$3*(1+(Inputs!$E$4*$C3))^(13-1))*Inputs!$E$5)*Inputs!$E$6)+((Inputs!$E$7*(1+Inputs!$E$8)^(13-1))*Inputs!$E$9)+(Inputs!$E$11*(1+Inputs!$E$12)^(13-1))+(IF(13&lt;Inputs!$E$13,0,Inputs!$E$14*(1+Inputs!$E$15)^(13-Inputs!$E$13)*Inputs!$E$16))))*Inputs!$E$26+((((Inputs!$E$3*(1+(Inputs!$E$4*$C3))^(13-1))*Inputs!$E$5)*Inputs!$E$6)+((Inputs!$E$7*(1+Inputs!$E$8)^(13-1))*Inputs!$E$9)+(IF(13&lt;Inputs!$E$13,0,Inputs!$E$14*(1+Inputs!$E$15)^(13-Inputs!$E$13)*Inputs!$E$16)))*Inputs!$E$27+(Inputs!$E$3*(1+(Inputs!$E$4*$C3))^(13-1))*Inputs!$E$30))+(((Inputs!$E$7*(1+Inputs!$E$8)^(13-1))*Inputs!$E$10))+(((((((Inputs!$E$3*(1+(Inputs!$E$4*$C3))^(13-1))*Inputs!$E$5)*Inputs!$E$6)+((Inputs!$E$7*(1+Inputs!$E$8)^(13-1))*Inputs!$E$9)+(Inputs!$E$11*(1+Inputs!$E$12)^(13-1))+(IF(13&lt;Inputs!$E$13,0,Inputs!$E$14*(1+Inputs!$E$15)^(13-Inputs!$E$13)*Inputs!$E$16))))*Inputs!$E$29))+((Inputs!$E$19+Inputs!$E$20+Inputs!$E$21+Inputs!$E$22+Inputs!$E$23))+(IF(AND(Inputs!$E$24&gt;0,13=Inputs!$E$24),Inputs!$E$25,0))+(MAX((((((((Inputs!$E$3*(1+(Inputs!$E$4*$C3))^(13-1))*Inputs!$E$5)*Inputs!$E$6)+((Inputs!$E$7*(1+Inputs!$E$8)^(13-1))*Inputs!$E$9)+(Inputs!$E$11*(1+Inputs!$E$12)^(13-1))+(IF(13&lt;Inputs!$E$13,0,Inputs!$E$14*(1+Inputs!$E$15)^(13-Inputs!$E$13)*Inputs!$E$16))))-(((((((Inputs!$E$3*(1+(Inputs!$E$4*$C3))^(13-1))*Inputs!$E$5)*Inputs!$E$6)+((Inputs!$E$7*(1+Inputs!$E$8)^(13-1))*Inputs!$E$9)+(Inputs!$E$11*(1+Inputs!$E$12)^(13-1))+(IF(13&lt;Inputs!$E$13,0,Inputs!$E$14*(1+Inputs!$E$15)^(13-Inputs!$E$13)*Inputs!$E$16))))*Inputs!$E$26+((((Inputs!$E$3*(1+(Inputs!$E$4*$C3))^(13-1))*Inputs!$E$5)*Inputs!$E$6)+((Inputs!$E$7*(1+Inputs!$E$8)^(13-1))*Inputs!$E$9)+(IF(13&lt;Inputs!$E$13,0,Inputs!$E$14*(1+Inputs!$E$15)^(13-Inputs!$E$13)*Inputs!$E$16)))*Inputs!$E$27+(Inputs!$E$3*(1+(Inputs!$E$4*$C3))^(13-1))*Inputs!$E$30))-(((Inputs!$E$7*(1+Inputs!$E$8)^(13-1))*Inputs!$E$10))-(((((((Inputs!$E$3*(1+(Inputs!$E$4*$C3))^(13-1))*Inputs!$E$5)*Inputs!$E$6)+((Inputs!$E$7*(1+Inputs!$E$8)^(13-1))*Inputs!$E$9)+(Inputs!$E$11*(1+Inputs!$E$12)^(13-1))+(IF(13&lt;Inputs!$E$13,0,Inputs!$E$14*(1+Inputs!$E$15)^(13-Inputs!$E$13)*Inputs!$E$16))))*Inputs!$E$29))-((Inputs!$E$19+Inputs!$E$20+Inputs!$E$21+Inputs!$E$22+Inputs!$E$23))-(IF(AND(Inputs!$E$24&gt;0,13=Inputs!$E$24),Inputs!$E$25,0)))),0)*Inputs!$E$28))))+(IF(AND(Inputs!$E$17&gt;0,13=Inputs!$E$17),Inputs!$E$18,0))))</f>
        <v/>
      </c>
      <c r="T3" s="8">
        <f>S3+(((((((((Inputs!$E$3*(1+(Inputs!$E$4*$C3))^(14-1))*Inputs!$E$5)*Inputs!$E$6)+((Inputs!$E$7*(1+Inputs!$E$8)^(14-1))*Inputs!$E$9)+(Inputs!$E$11*(1+Inputs!$E$12)^(14-1))+(IF(14&lt;Inputs!$E$13,0,Inputs!$E$14*(1+Inputs!$E$15)^(14-Inputs!$E$13)*Inputs!$E$16))))-((((((((Inputs!$E$3*(1+(Inputs!$E$4*$C3))^(14-1))*Inputs!$E$5)*Inputs!$E$6)+((Inputs!$E$7*(1+Inputs!$E$8)^(14-1))*Inputs!$E$9)+(Inputs!$E$11*(1+Inputs!$E$12)^(14-1))+(IF(14&lt;Inputs!$E$13,0,Inputs!$E$14*(1+Inputs!$E$15)^(14-Inputs!$E$13)*Inputs!$E$16))))*Inputs!$E$26+((((Inputs!$E$3*(1+(Inputs!$E$4*$C3))^(14-1))*Inputs!$E$5)*Inputs!$E$6)+((Inputs!$E$7*(1+Inputs!$E$8)^(14-1))*Inputs!$E$9)+(IF(14&lt;Inputs!$E$13,0,Inputs!$E$14*(1+Inputs!$E$15)^(14-Inputs!$E$13)*Inputs!$E$16)))*Inputs!$E$27+(Inputs!$E$3*(1+(Inputs!$E$4*$C3))^(14-1))*Inputs!$E$30))+(((Inputs!$E$7*(1+Inputs!$E$8)^(14-1))*Inputs!$E$10))+(((((((Inputs!$E$3*(1+(Inputs!$E$4*$C3))^(14-1))*Inputs!$E$5)*Inputs!$E$6)+((Inputs!$E$7*(1+Inputs!$E$8)^(14-1))*Inputs!$E$9)+(Inputs!$E$11*(1+Inputs!$E$12)^(14-1))+(IF(14&lt;Inputs!$E$13,0,Inputs!$E$14*(1+Inputs!$E$15)^(14-Inputs!$E$13)*Inputs!$E$16))))*Inputs!$E$29))+((Inputs!$E$19+Inputs!$E$20+Inputs!$E$21+Inputs!$E$22+Inputs!$E$23))+(IF(AND(Inputs!$E$24&gt;0,14=Inputs!$E$24),Inputs!$E$25,0))+(MAX((((((((Inputs!$E$3*(1+(Inputs!$E$4*$C3))^(14-1))*Inputs!$E$5)*Inputs!$E$6)+((Inputs!$E$7*(1+Inputs!$E$8)^(14-1))*Inputs!$E$9)+(Inputs!$E$11*(1+Inputs!$E$12)^(14-1))+(IF(14&lt;Inputs!$E$13,0,Inputs!$E$14*(1+Inputs!$E$15)^(14-Inputs!$E$13)*Inputs!$E$16))))-(((((((Inputs!$E$3*(1+(Inputs!$E$4*$C3))^(14-1))*Inputs!$E$5)*Inputs!$E$6)+((Inputs!$E$7*(1+Inputs!$E$8)^(14-1))*Inputs!$E$9)+(Inputs!$E$11*(1+Inputs!$E$12)^(14-1))+(IF(14&lt;Inputs!$E$13,0,Inputs!$E$14*(1+Inputs!$E$15)^(14-Inputs!$E$13)*Inputs!$E$16))))*Inputs!$E$26+((((Inputs!$E$3*(1+(Inputs!$E$4*$C3))^(14-1))*Inputs!$E$5)*Inputs!$E$6)+((Inputs!$E$7*(1+Inputs!$E$8)^(14-1))*Inputs!$E$9)+(IF(14&lt;Inputs!$E$13,0,Inputs!$E$14*(1+Inputs!$E$15)^(14-Inputs!$E$13)*Inputs!$E$16)))*Inputs!$E$27+(Inputs!$E$3*(1+(Inputs!$E$4*$C3))^(14-1))*Inputs!$E$30))-(((Inputs!$E$7*(1+Inputs!$E$8)^(14-1))*Inputs!$E$10))-(((((((Inputs!$E$3*(1+(Inputs!$E$4*$C3))^(14-1))*Inputs!$E$5)*Inputs!$E$6)+((Inputs!$E$7*(1+Inputs!$E$8)^(14-1))*Inputs!$E$9)+(Inputs!$E$11*(1+Inputs!$E$12)^(14-1))+(IF(14&lt;Inputs!$E$13,0,Inputs!$E$14*(1+Inputs!$E$15)^(14-Inputs!$E$13)*Inputs!$E$16))))*Inputs!$E$29))-((Inputs!$E$19+Inputs!$E$20+Inputs!$E$21+Inputs!$E$22+Inputs!$E$23))-(IF(AND(Inputs!$E$24&gt;0,14=Inputs!$E$24),Inputs!$E$25,0)))),0)*Inputs!$E$28))))+(IF(AND(Inputs!$E$17&gt;0,14=Inputs!$E$17),Inputs!$E$18,0))))</f>
        <v/>
      </c>
      <c r="U3" s="8">
        <f>T3+(((((((((Inputs!$E$3*(1+(Inputs!$E$4*$C3))^(15-1))*Inputs!$E$5)*Inputs!$E$6)+((Inputs!$E$7*(1+Inputs!$E$8)^(15-1))*Inputs!$E$9)+(Inputs!$E$11*(1+Inputs!$E$12)^(15-1))+(IF(15&lt;Inputs!$E$13,0,Inputs!$E$14*(1+Inputs!$E$15)^(15-Inputs!$E$13)*Inputs!$E$16))))-((((((((Inputs!$E$3*(1+(Inputs!$E$4*$C3))^(15-1))*Inputs!$E$5)*Inputs!$E$6)+((Inputs!$E$7*(1+Inputs!$E$8)^(15-1))*Inputs!$E$9)+(Inputs!$E$11*(1+Inputs!$E$12)^(15-1))+(IF(15&lt;Inputs!$E$13,0,Inputs!$E$14*(1+Inputs!$E$15)^(15-Inputs!$E$13)*Inputs!$E$16))))*Inputs!$E$26+((((Inputs!$E$3*(1+(Inputs!$E$4*$C3))^(15-1))*Inputs!$E$5)*Inputs!$E$6)+((Inputs!$E$7*(1+Inputs!$E$8)^(15-1))*Inputs!$E$9)+(IF(15&lt;Inputs!$E$13,0,Inputs!$E$14*(1+Inputs!$E$15)^(15-Inputs!$E$13)*Inputs!$E$16)))*Inputs!$E$27+(Inputs!$E$3*(1+(Inputs!$E$4*$C3))^(15-1))*Inputs!$E$30))+(((Inputs!$E$7*(1+Inputs!$E$8)^(15-1))*Inputs!$E$10))+(((((((Inputs!$E$3*(1+(Inputs!$E$4*$C3))^(15-1))*Inputs!$E$5)*Inputs!$E$6)+((Inputs!$E$7*(1+Inputs!$E$8)^(15-1))*Inputs!$E$9)+(Inputs!$E$11*(1+Inputs!$E$12)^(15-1))+(IF(15&lt;Inputs!$E$13,0,Inputs!$E$14*(1+Inputs!$E$15)^(15-Inputs!$E$13)*Inputs!$E$16))))*Inputs!$E$29))+((Inputs!$E$19+Inputs!$E$20+Inputs!$E$21+Inputs!$E$22+Inputs!$E$23))+(IF(AND(Inputs!$E$24&gt;0,15=Inputs!$E$24),Inputs!$E$25,0))+(MAX((((((((Inputs!$E$3*(1+(Inputs!$E$4*$C3))^(15-1))*Inputs!$E$5)*Inputs!$E$6)+((Inputs!$E$7*(1+Inputs!$E$8)^(15-1))*Inputs!$E$9)+(Inputs!$E$11*(1+Inputs!$E$12)^(15-1))+(IF(15&lt;Inputs!$E$13,0,Inputs!$E$14*(1+Inputs!$E$15)^(15-Inputs!$E$13)*Inputs!$E$16))))-(((((((Inputs!$E$3*(1+(Inputs!$E$4*$C3))^(15-1))*Inputs!$E$5)*Inputs!$E$6)+((Inputs!$E$7*(1+Inputs!$E$8)^(15-1))*Inputs!$E$9)+(Inputs!$E$11*(1+Inputs!$E$12)^(15-1))+(IF(15&lt;Inputs!$E$13,0,Inputs!$E$14*(1+Inputs!$E$15)^(15-Inputs!$E$13)*Inputs!$E$16))))*Inputs!$E$26+((((Inputs!$E$3*(1+(Inputs!$E$4*$C3))^(15-1))*Inputs!$E$5)*Inputs!$E$6)+((Inputs!$E$7*(1+Inputs!$E$8)^(15-1))*Inputs!$E$9)+(IF(15&lt;Inputs!$E$13,0,Inputs!$E$14*(1+Inputs!$E$15)^(15-Inputs!$E$13)*Inputs!$E$16)))*Inputs!$E$27+(Inputs!$E$3*(1+(Inputs!$E$4*$C3))^(15-1))*Inputs!$E$30))-(((Inputs!$E$7*(1+Inputs!$E$8)^(15-1))*Inputs!$E$10))-(((((((Inputs!$E$3*(1+(Inputs!$E$4*$C3))^(15-1))*Inputs!$E$5)*Inputs!$E$6)+((Inputs!$E$7*(1+Inputs!$E$8)^(15-1))*Inputs!$E$9)+(Inputs!$E$11*(1+Inputs!$E$12)^(15-1))+(IF(15&lt;Inputs!$E$13,0,Inputs!$E$14*(1+Inputs!$E$15)^(15-Inputs!$E$13)*Inputs!$E$16))))*Inputs!$E$29))-((Inputs!$E$19+Inputs!$E$20+Inputs!$E$21+Inputs!$E$22+Inputs!$E$23))-(IF(AND(Inputs!$E$24&gt;0,15=Inputs!$E$24),Inputs!$E$25,0)))),0)*Inputs!$E$28))))+(IF(AND(Inputs!$E$17&gt;0,15=Inputs!$E$17),Inputs!$E$18,0))))</f>
        <v/>
      </c>
      <c r="V3" s="8">
        <f>U3+(((((((((Inputs!$E$3*(1+(Inputs!$E$4*$C3))^(16-1))*Inputs!$E$5)*Inputs!$E$6)+((Inputs!$E$7*(1+Inputs!$E$8)^(16-1))*Inputs!$E$9)+(Inputs!$E$11*(1+Inputs!$E$12)^(16-1))+(IF(16&lt;Inputs!$E$13,0,Inputs!$E$14*(1+Inputs!$E$15)^(16-Inputs!$E$13)*Inputs!$E$16))))-((((((((Inputs!$E$3*(1+(Inputs!$E$4*$C3))^(16-1))*Inputs!$E$5)*Inputs!$E$6)+((Inputs!$E$7*(1+Inputs!$E$8)^(16-1))*Inputs!$E$9)+(Inputs!$E$11*(1+Inputs!$E$12)^(16-1))+(IF(16&lt;Inputs!$E$13,0,Inputs!$E$14*(1+Inputs!$E$15)^(16-Inputs!$E$13)*Inputs!$E$16))))*Inputs!$E$26+((((Inputs!$E$3*(1+(Inputs!$E$4*$C3))^(16-1))*Inputs!$E$5)*Inputs!$E$6)+((Inputs!$E$7*(1+Inputs!$E$8)^(16-1))*Inputs!$E$9)+(IF(16&lt;Inputs!$E$13,0,Inputs!$E$14*(1+Inputs!$E$15)^(16-Inputs!$E$13)*Inputs!$E$16)))*Inputs!$E$27+(Inputs!$E$3*(1+(Inputs!$E$4*$C3))^(16-1))*Inputs!$E$30))+(((Inputs!$E$7*(1+Inputs!$E$8)^(16-1))*Inputs!$E$10))+(((((((Inputs!$E$3*(1+(Inputs!$E$4*$C3))^(16-1))*Inputs!$E$5)*Inputs!$E$6)+((Inputs!$E$7*(1+Inputs!$E$8)^(16-1))*Inputs!$E$9)+(Inputs!$E$11*(1+Inputs!$E$12)^(16-1))+(IF(16&lt;Inputs!$E$13,0,Inputs!$E$14*(1+Inputs!$E$15)^(16-Inputs!$E$13)*Inputs!$E$16))))*Inputs!$E$29))+((Inputs!$E$19+Inputs!$E$20+Inputs!$E$21+Inputs!$E$22+Inputs!$E$23))+(IF(AND(Inputs!$E$24&gt;0,16=Inputs!$E$24),Inputs!$E$25,0))+(MAX((((((((Inputs!$E$3*(1+(Inputs!$E$4*$C3))^(16-1))*Inputs!$E$5)*Inputs!$E$6)+((Inputs!$E$7*(1+Inputs!$E$8)^(16-1))*Inputs!$E$9)+(Inputs!$E$11*(1+Inputs!$E$12)^(16-1))+(IF(16&lt;Inputs!$E$13,0,Inputs!$E$14*(1+Inputs!$E$15)^(16-Inputs!$E$13)*Inputs!$E$16))))-(((((((Inputs!$E$3*(1+(Inputs!$E$4*$C3))^(16-1))*Inputs!$E$5)*Inputs!$E$6)+((Inputs!$E$7*(1+Inputs!$E$8)^(16-1))*Inputs!$E$9)+(Inputs!$E$11*(1+Inputs!$E$12)^(16-1))+(IF(16&lt;Inputs!$E$13,0,Inputs!$E$14*(1+Inputs!$E$15)^(16-Inputs!$E$13)*Inputs!$E$16))))*Inputs!$E$26+((((Inputs!$E$3*(1+(Inputs!$E$4*$C3))^(16-1))*Inputs!$E$5)*Inputs!$E$6)+((Inputs!$E$7*(1+Inputs!$E$8)^(16-1))*Inputs!$E$9)+(IF(16&lt;Inputs!$E$13,0,Inputs!$E$14*(1+Inputs!$E$15)^(16-Inputs!$E$13)*Inputs!$E$16)))*Inputs!$E$27+(Inputs!$E$3*(1+(Inputs!$E$4*$C3))^(16-1))*Inputs!$E$30))-(((Inputs!$E$7*(1+Inputs!$E$8)^(16-1))*Inputs!$E$10))-(((((((Inputs!$E$3*(1+(Inputs!$E$4*$C3))^(16-1))*Inputs!$E$5)*Inputs!$E$6)+((Inputs!$E$7*(1+Inputs!$E$8)^(16-1))*Inputs!$E$9)+(Inputs!$E$11*(1+Inputs!$E$12)^(16-1))+(IF(16&lt;Inputs!$E$13,0,Inputs!$E$14*(1+Inputs!$E$15)^(16-Inputs!$E$13)*Inputs!$E$16))))*Inputs!$E$29))-((Inputs!$E$19+Inputs!$E$20+Inputs!$E$21+Inputs!$E$22+Inputs!$E$23))-(IF(AND(Inputs!$E$24&gt;0,16=Inputs!$E$24),Inputs!$E$25,0)))),0)*Inputs!$E$28))))+(IF(AND(Inputs!$E$17&gt;0,16=Inputs!$E$17),Inputs!$E$18,0))))</f>
        <v/>
      </c>
      <c r="W3" s="8">
        <f>V3+(((((((((Inputs!$E$3*(1+(Inputs!$E$4*$C3))^(17-1))*Inputs!$E$5)*Inputs!$E$6)+((Inputs!$E$7*(1+Inputs!$E$8)^(17-1))*Inputs!$E$9)+(Inputs!$E$11*(1+Inputs!$E$12)^(17-1))+(IF(17&lt;Inputs!$E$13,0,Inputs!$E$14*(1+Inputs!$E$15)^(17-Inputs!$E$13)*Inputs!$E$16))))-((((((((Inputs!$E$3*(1+(Inputs!$E$4*$C3))^(17-1))*Inputs!$E$5)*Inputs!$E$6)+((Inputs!$E$7*(1+Inputs!$E$8)^(17-1))*Inputs!$E$9)+(Inputs!$E$11*(1+Inputs!$E$12)^(17-1))+(IF(17&lt;Inputs!$E$13,0,Inputs!$E$14*(1+Inputs!$E$15)^(17-Inputs!$E$13)*Inputs!$E$16))))*Inputs!$E$26+((((Inputs!$E$3*(1+(Inputs!$E$4*$C3))^(17-1))*Inputs!$E$5)*Inputs!$E$6)+((Inputs!$E$7*(1+Inputs!$E$8)^(17-1))*Inputs!$E$9)+(IF(17&lt;Inputs!$E$13,0,Inputs!$E$14*(1+Inputs!$E$15)^(17-Inputs!$E$13)*Inputs!$E$16)))*Inputs!$E$27+(Inputs!$E$3*(1+(Inputs!$E$4*$C3))^(17-1))*Inputs!$E$30))+(((Inputs!$E$7*(1+Inputs!$E$8)^(17-1))*Inputs!$E$10))+(((((((Inputs!$E$3*(1+(Inputs!$E$4*$C3))^(17-1))*Inputs!$E$5)*Inputs!$E$6)+((Inputs!$E$7*(1+Inputs!$E$8)^(17-1))*Inputs!$E$9)+(Inputs!$E$11*(1+Inputs!$E$12)^(17-1))+(IF(17&lt;Inputs!$E$13,0,Inputs!$E$14*(1+Inputs!$E$15)^(17-Inputs!$E$13)*Inputs!$E$16))))*Inputs!$E$29))+((Inputs!$E$19+Inputs!$E$20+Inputs!$E$21+Inputs!$E$22+Inputs!$E$23))+(IF(AND(Inputs!$E$24&gt;0,17=Inputs!$E$24),Inputs!$E$25,0))+(MAX((((((((Inputs!$E$3*(1+(Inputs!$E$4*$C3))^(17-1))*Inputs!$E$5)*Inputs!$E$6)+((Inputs!$E$7*(1+Inputs!$E$8)^(17-1))*Inputs!$E$9)+(Inputs!$E$11*(1+Inputs!$E$12)^(17-1))+(IF(17&lt;Inputs!$E$13,0,Inputs!$E$14*(1+Inputs!$E$15)^(17-Inputs!$E$13)*Inputs!$E$16))))-(((((((Inputs!$E$3*(1+(Inputs!$E$4*$C3))^(17-1))*Inputs!$E$5)*Inputs!$E$6)+((Inputs!$E$7*(1+Inputs!$E$8)^(17-1))*Inputs!$E$9)+(Inputs!$E$11*(1+Inputs!$E$12)^(17-1))+(IF(17&lt;Inputs!$E$13,0,Inputs!$E$14*(1+Inputs!$E$15)^(17-Inputs!$E$13)*Inputs!$E$16))))*Inputs!$E$26+((((Inputs!$E$3*(1+(Inputs!$E$4*$C3))^(17-1))*Inputs!$E$5)*Inputs!$E$6)+((Inputs!$E$7*(1+Inputs!$E$8)^(17-1))*Inputs!$E$9)+(IF(17&lt;Inputs!$E$13,0,Inputs!$E$14*(1+Inputs!$E$15)^(17-Inputs!$E$13)*Inputs!$E$16)))*Inputs!$E$27+(Inputs!$E$3*(1+(Inputs!$E$4*$C3))^(17-1))*Inputs!$E$30))-(((Inputs!$E$7*(1+Inputs!$E$8)^(17-1))*Inputs!$E$10))-(((((((Inputs!$E$3*(1+(Inputs!$E$4*$C3))^(17-1))*Inputs!$E$5)*Inputs!$E$6)+((Inputs!$E$7*(1+Inputs!$E$8)^(17-1))*Inputs!$E$9)+(Inputs!$E$11*(1+Inputs!$E$12)^(17-1))+(IF(17&lt;Inputs!$E$13,0,Inputs!$E$14*(1+Inputs!$E$15)^(17-Inputs!$E$13)*Inputs!$E$16))))*Inputs!$E$29))-((Inputs!$E$19+Inputs!$E$20+Inputs!$E$21+Inputs!$E$22+Inputs!$E$23))-(IF(AND(Inputs!$E$24&gt;0,17=Inputs!$E$24),Inputs!$E$25,0)))),0)*Inputs!$E$28))))+(IF(AND(Inputs!$E$17&gt;0,17=Inputs!$E$17),Inputs!$E$18,0))))</f>
        <v/>
      </c>
      <c r="X3" s="8">
        <f>W3+(((((((((Inputs!$E$3*(1+(Inputs!$E$4*$C3))^(18-1))*Inputs!$E$5)*Inputs!$E$6)+((Inputs!$E$7*(1+Inputs!$E$8)^(18-1))*Inputs!$E$9)+(Inputs!$E$11*(1+Inputs!$E$12)^(18-1))+(IF(18&lt;Inputs!$E$13,0,Inputs!$E$14*(1+Inputs!$E$15)^(18-Inputs!$E$13)*Inputs!$E$16))))-((((((((Inputs!$E$3*(1+(Inputs!$E$4*$C3))^(18-1))*Inputs!$E$5)*Inputs!$E$6)+((Inputs!$E$7*(1+Inputs!$E$8)^(18-1))*Inputs!$E$9)+(Inputs!$E$11*(1+Inputs!$E$12)^(18-1))+(IF(18&lt;Inputs!$E$13,0,Inputs!$E$14*(1+Inputs!$E$15)^(18-Inputs!$E$13)*Inputs!$E$16))))*Inputs!$E$26+((((Inputs!$E$3*(1+(Inputs!$E$4*$C3))^(18-1))*Inputs!$E$5)*Inputs!$E$6)+((Inputs!$E$7*(1+Inputs!$E$8)^(18-1))*Inputs!$E$9)+(IF(18&lt;Inputs!$E$13,0,Inputs!$E$14*(1+Inputs!$E$15)^(18-Inputs!$E$13)*Inputs!$E$16)))*Inputs!$E$27+(Inputs!$E$3*(1+(Inputs!$E$4*$C3))^(18-1))*Inputs!$E$30))+(((Inputs!$E$7*(1+Inputs!$E$8)^(18-1))*Inputs!$E$10))+(((((((Inputs!$E$3*(1+(Inputs!$E$4*$C3))^(18-1))*Inputs!$E$5)*Inputs!$E$6)+((Inputs!$E$7*(1+Inputs!$E$8)^(18-1))*Inputs!$E$9)+(Inputs!$E$11*(1+Inputs!$E$12)^(18-1))+(IF(18&lt;Inputs!$E$13,0,Inputs!$E$14*(1+Inputs!$E$15)^(18-Inputs!$E$13)*Inputs!$E$16))))*Inputs!$E$29))+((Inputs!$E$19+Inputs!$E$20+Inputs!$E$21+Inputs!$E$22+Inputs!$E$23))+(IF(AND(Inputs!$E$24&gt;0,18=Inputs!$E$24),Inputs!$E$25,0))+(MAX((((((((Inputs!$E$3*(1+(Inputs!$E$4*$C3))^(18-1))*Inputs!$E$5)*Inputs!$E$6)+((Inputs!$E$7*(1+Inputs!$E$8)^(18-1))*Inputs!$E$9)+(Inputs!$E$11*(1+Inputs!$E$12)^(18-1))+(IF(18&lt;Inputs!$E$13,0,Inputs!$E$14*(1+Inputs!$E$15)^(18-Inputs!$E$13)*Inputs!$E$16))))-(((((((Inputs!$E$3*(1+(Inputs!$E$4*$C3))^(18-1))*Inputs!$E$5)*Inputs!$E$6)+((Inputs!$E$7*(1+Inputs!$E$8)^(18-1))*Inputs!$E$9)+(Inputs!$E$11*(1+Inputs!$E$12)^(18-1))+(IF(18&lt;Inputs!$E$13,0,Inputs!$E$14*(1+Inputs!$E$15)^(18-Inputs!$E$13)*Inputs!$E$16))))*Inputs!$E$26+((((Inputs!$E$3*(1+(Inputs!$E$4*$C3))^(18-1))*Inputs!$E$5)*Inputs!$E$6)+((Inputs!$E$7*(1+Inputs!$E$8)^(18-1))*Inputs!$E$9)+(IF(18&lt;Inputs!$E$13,0,Inputs!$E$14*(1+Inputs!$E$15)^(18-Inputs!$E$13)*Inputs!$E$16)))*Inputs!$E$27+(Inputs!$E$3*(1+(Inputs!$E$4*$C3))^(18-1))*Inputs!$E$30))-(((Inputs!$E$7*(1+Inputs!$E$8)^(18-1))*Inputs!$E$10))-(((((((Inputs!$E$3*(1+(Inputs!$E$4*$C3))^(18-1))*Inputs!$E$5)*Inputs!$E$6)+((Inputs!$E$7*(1+Inputs!$E$8)^(18-1))*Inputs!$E$9)+(Inputs!$E$11*(1+Inputs!$E$12)^(18-1))+(IF(18&lt;Inputs!$E$13,0,Inputs!$E$14*(1+Inputs!$E$15)^(18-Inputs!$E$13)*Inputs!$E$16))))*Inputs!$E$29))-((Inputs!$E$19+Inputs!$E$20+Inputs!$E$21+Inputs!$E$22+Inputs!$E$23))-(IF(AND(Inputs!$E$24&gt;0,18=Inputs!$E$24),Inputs!$E$25,0)))),0)*Inputs!$E$28))))+(IF(AND(Inputs!$E$17&gt;0,18=Inputs!$E$17),Inputs!$E$18,0))))</f>
        <v/>
      </c>
      <c r="Y3" s="8">
        <f>X3+(((((((((Inputs!$E$3*(1+(Inputs!$E$4*$C3))^(19-1))*Inputs!$E$5)*Inputs!$E$6)+((Inputs!$E$7*(1+Inputs!$E$8)^(19-1))*Inputs!$E$9)+(Inputs!$E$11*(1+Inputs!$E$12)^(19-1))+(IF(19&lt;Inputs!$E$13,0,Inputs!$E$14*(1+Inputs!$E$15)^(19-Inputs!$E$13)*Inputs!$E$16))))-((((((((Inputs!$E$3*(1+(Inputs!$E$4*$C3))^(19-1))*Inputs!$E$5)*Inputs!$E$6)+((Inputs!$E$7*(1+Inputs!$E$8)^(19-1))*Inputs!$E$9)+(Inputs!$E$11*(1+Inputs!$E$12)^(19-1))+(IF(19&lt;Inputs!$E$13,0,Inputs!$E$14*(1+Inputs!$E$15)^(19-Inputs!$E$13)*Inputs!$E$16))))*Inputs!$E$26+((((Inputs!$E$3*(1+(Inputs!$E$4*$C3))^(19-1))*Inputs!$E$5)*Inputs!$E$6)+((Inputs!$E$7*(1+Inputs!$E$8)^(19-1))*Inputs!$E$9)+(IF(19&lt;Inputs!$E$13,0,Inputs!$E$14*(1+Inputs!$E$15)^(19-Inputs!$E$13)*Inputs!$E$16)))*Inputs!$E$27+(Inputs!$E$3*(1+(Inputs!$E$4*$C3))^(19-1))*Inputs!$E$30))+(((Inputs!$E$7*(1+Inputs!$E$8)^(19-1))*Inputs!$E$10))+(((((((Inputs!$E$3*(1+(Inputs!$E$4*$C3))^(19-1))*Inputs!$E$5)*Inputs!$E$6)+((Inputs!$E$7*(1+Inputs!$E$8)^(19-1))*Inputs!$E$9)+(Inputs!$E$11*(1+Inputs!$E$12)^(19-1))+(IF(19&lt;Inputs!$E$13,0,Inputs!$E$14*(1+Inputs!$E$15)^(19-Inputs!$E$13)*Inputs!$E$16))))*Inputs!$E$29))+((Inputs!$E$19+Inputs!$E$20+Inputs!$E$21+Inputs!$E$22+Inputs!$E$23))+(IF(AND(Inputs!$E$24&gt;0,19=Inputs!$E$24),Inputs!$E$25,0))+(MAX((((((((Inputs!$E$3*(1+(Inputs!$E$4*$C3))^(19-1))*Inputs!$E$5)*Inputs!$E$6)+((Inputs!$E$7*(1+Inputs!$E$8)^(19-1))*Inputs!$E$9)+(Inputs!$E$11*(1+Inputs!$E$12)^(19-1))+(IF(19&lt;Inputs!$E$13,0,Inputs!$E$14*(1+Inputs!$E$15)^(19-Inputs!$E$13)*Inputs!$E$16))))-(((((((Inputs!$E$3*(1+(Inputs!$E$4*$C3))^(19-1))*Inputs!$E$5)*Inputs!$E$6)+((Inputs!$E$7*(1+Inputs!$E$8)^(19-1))*Inputs!$E$9)+(Inputs!$E$11*(1+Inputs!$E$12)^(19-1))+(IF(19&lt;Inputs!$E$13,0,Inputs!$E$14*(1+Inputs!$E$15)^(19-Inputs!$E$13)*Inputs!$E$16))))*Inputs!$E$26+((((Inputs!$E$3*(1+(Inputs!$E$4*$C3))^(19-1))*Inputs!$E$5)*Inputs!$E$6)+((Inputs!$E$7*(1+Inputs!$E$8)^(19-1))*Inputs!$E$9)+(IF(19&lt;Inputs!$E$13,0,Inputs!$E$14*(1+Inputs!$E$15)^(19-Inputs!$E$13)*Inputs!$E$16)))*Inputs!$E$27+(Inputs!$E$3*(1+(Inputs!$E$4*$C3))^(19-1))*Inputs!$E$30))-(((Inputs!$E$7*(1+Inputs!$E$8)^(19-1))*Inputs!$E$10))-(((((((Inputs!$E$3*(1+(Inputs!$E$4*$C3))^(19-1))*Inputs!$E$5)*Inputs!$E$6)+((Inputs!$E$7*(1+Inputs!$E$8)^(19-1))*Inputs!$E$9)+(Inputs!$E$11*(1+Inputs!$E$12)^(19-1))+(IF(19&lt;Inputs!$E$13,0,Inputs!$E$14*(1+Inputs!$E$15)^(19-Inputs!$E$13)*Inputs!$E$16))))*Inputs!$E$29))-((Inputs!$E$19+Inputs!$E$20+Inputs!$E$21+Inputs!$E$22+Inputs!$E$23))-(IF(AND(Inputs!$E$24&gt;0,19=Inputs!$E$24),Inputs!$E$25,0)))),0)*Inputs!$E$28))))+(IF(AND(Inputs!$E$17&gt;0,19=Inputs!$E$17),Inputs!$E$18,0))))</f>
        <v/>
      </c>
      <c r="Z3" s="8">
        <f>Y3+(((((((((Inputs!$E$3*(1+(Inputs!$E$4*$C3))^(20-1))*Inputs!$E$5)*Inputs!$E$6)+((Inputs!$E$7*(1+Inputs!$E$8)^(20-1))*Inputs!$E$9)+(Inputs!$E$11*(1+Inputs!$E$12)^(20-1))+(IF(20&lt;Inputs!$E$13,0,Inputs!$E$14*(1+Inputs!$E$15)^(20-Inputs!$E$13)*Inputs!$E$16))))-((((((((Inputs!$E$3*(1+(Inputs!$E$4*$C3))^(20-1))*Inputs!$E$5)*Inputs!$E$6)+((Inputs!$E$7*(1+Inputs!$E$8)^(20-1))*Inputs!$E$9)+(Inputs!$E$11*(1+Inputs!$E$12)^(20-1))+(IF(20&lt;Inputs!$E$13,0,Inputs!$E$14*(1+Inputs!$E$15)^(20-Inputs!$E$13)*Inputs!$E$16))))*Inputs!$E$26+((((Inputs!$E$3*(1+(Inputs!$E$4*$C3))^(20-1))*Inputs!$E$5)*Inputs!$E$6)+((Inputs!$E$7*(1+Inputs!$E$8)^(20-1))*Inputs!$E$9)+(IF(20&lt;Inputs!$E$13,0,Inputs!$E$14*(1+Inputs!$E$15)^(20-Inputs!$E$13)*Inputs!$E$16)))*Inputs!$E$27+(Inputs!$E$3*(1+(Inputs!$E$4*$C3))^(20-1))*Inputs!$E$30))+(((Inputs!$E$7*(1+Inputs!$E$8)^(20-1))*Inputs!$E$10))+(((((((Inputs!$E$3*(1+(Inputs!$E$4*$C3))^(20-1))*Inputs!$E$5)*Inputs!$E$6)+((Inputs!$E$7*(1+Inputs!$E$8)^(20-1))*Inputs!$E$9)+(Inputs!$E$11*(1+Inputs!$E$12)^(20-1))+(IF(20&lt;Inputs!$E$13,0,Inputs!$E$14*(1+Inputs!$E$15)^(20-Inputs!$E$13)*Inputs!$E$16))))*Inputs!$E$29))+((Inputs!$E$19+Inputs!$E$20+Inputs!$E$21+Inputs!$E$22+Inputs!$E$23))+(IF(AND(Inputs!$E$24&gt;0,20=Inputs!$E$24),Inputs!$E$25,0))+(MAX((((((((Inputs!$E$3*(1+(Inputs!$E$4*$C3))^(20-1))*Inputs!$E$5)*Inputs!$E$6)+((Inputs!$E$7*(1+Inputs!$E$8)^(20-1))*Inputs!$E$9)+(Inputs!$E$11*(1+Inputs!$E$12)^(20-1))+(IF(20&lt;Inputs!$E$13,0,Inputs!$E$14*(1+Inputs!$E$15)^(20-Inputs!$E$13)*Inputs!$E$16))))-(((((((Inputs!$E$3*(1+(Inputs!$E$4*$C3))^(20-1))*Inputs!$E$5)*Inputs!$E$6)+((Inputs!$E$7*(1+Inputs!$E$8)^(20-1))*Inputs!$E$9)+(Inputs!$E$11*(1+Inputs!$E$12)^(20-1))+(IF(20&lt;Inputs!$E$13,0,Inputs!$E$14*(1+Inputs!$E$15)^(20-Inputs!$E$13)*Inputs!$E$16))))*Inputs!$E$26+((((Inputs!$E$3*(1+(Inputs!$E$4*$C3))^(20-1))*Inputs!$E$5)*Inputs!$E$6)+((Inputs!$E$7*(1+Inputs!$E$8)^(20-1))*Inputs!$E$9)+(IF(20&lt;Inputs!$E$13,0,Inputs!$E$14*(1+Inputs!$E$15)^(20-Inputs!$E$13)*Inputs!$E$16)))*Inputs!$E$27+(Inputs!$E$3*(1+(Inputs!$E$4*$C3))^(20-1))*Inputs!$E$30))-(((Inputs!$E$7*(1+Inputs!$E$8)^(20-1))*Inputs!$E$10))-(((((((Inputs!$E$3*(1+(Inputs!$E$4*$C3))^(20-1))*Inputs!$E$5)*Inputs!$E$6)+((Inputs!$E$7*(1+Inputs!$E$8)^(20-1))*Inputs!$E$9)+(Inputs!$E$11*(1+Inputs!$E$12)^(20-1))+(IF(20&lt;Inputs!$E$13,0,Inputs!$E$14*(1+Inputs!$E$15)^(20-Inputs!$E$13)*Inputs!$E$16))))*Inputs!$E$29))-((Inputs!$E$19+Inputs!$E$20+Inputs!$E$21+Inputs!$E$22+Inputs!$E$23))-(IF(AND(Inputs!$E$24&gt;0,20=Inputs!$E$24),Inputs!$E$25,0)))),0)*Inputs!$E$28))))+(IF(AND(Inputs!$E$17&gt;0,20=Inputs!$E$17),Inputs!$E$18,0))))</f>
        <v/>
      </c>
      <c r="AA3" s="8">
        <f>Z3+(((((((((Inputs!$E$3*(1+(Inputs!$E$4*$C3))^(21-1))*Inputs!$E$5)*Inputs!$E$6)+((Inputs!$E$7*(1+Inputs!$E$8)^(21-1))*Inputs!$E$9)+(Inputs!$E$11*(1+Inputs!$E$12)^(21-1))+(IF(21&lt;Inputs!$E$13,0,Inputs!$E$14*(1+Inputs!$E$15)^(21-Inputs!$E$13)*Inputs!$E$16))))-((((((((Inputs!$E$3*(1+(Inputs!$E$4*$C3))^(21-1))*Inputs!$E$5)*Inputs!$E$6)+((Inputs!$E$7*(1+Inputs!$E$8)^(21-1))*Inputs!$E$9)+(Inputs!$E$11*(1+Inputs!$E$12)^(21-1))+(IF(21&lt;Inputs!$E$13,0,Inputs!$E$14*(1+Inputs!$E$15)^(21-Inputs!$E$13)*Inputs!$E$16))))*Inputs!$E$26+((((Inputs!$E$3*(1+(Inputs!$E$4*$C3))^(21-1))*Inputs!$E$5)*Inputs!$E$6)+((Inputs!$E$7*(1+Inputs!$E$8)^(21-1))*Inputs!$E$9)+(IF(21&lt;Inputs!$E$13,0,Inputs!$E$14*(1+Inputs!$E$15)^(21-Inputs!$E$13)*Inputs!$E$16)))*Inputs!$E$27+(Inputs!$E$3*(1+(Inputs!$E$4*$C3))^(21-1))*Inputs!$E$30))+(((Inputs!$E$7*(1+Inputs!$E$8)^(21-1))*Inputs!$E$10))+(((((((Inputs!$E$3*(1+(Inputs!$E$4*$C3))^(21-1))*Inputs!$E$5)*Inputs!$E$6)+((Inputs!$E$7*(1+Inputs!$E$8)^(21-1))*Inputs!$E$9)+(Inputs!$E$11*(1+Inputs!$E$12)^(21-1))+(IF(21&lt;Inputs!$E$13,0,Inputs!$E$14*(1+Inputs!$E$15)^(21-Inputs!$E$13)*Inputs!$E$16))))*Inputs!$E$29))+((Inputs!$E$19+Inputs!$E$20+Inputs!$E$21+Inputs!$E$22+Inputs!$E$23))+(IF(AND(Inputs!$E$24&gt;0,21=Inputs!$E$24),Inputs!$E$25,0))+(MAX((((((((Inputs!$E$3*(1+(Inputs!$E$4*$C3))^(21-1))*Inputs!$E$5)*Inputs!$E$6)+((Inputs!$E$7*(1+Inputs!$E$8)^(21-1))*Inputs!$E$9)+(Inputs!$E$11*(1+Inputs!$E$12)^(21-1))+(IF(21&lt;Inputs!$E$13,0,Inputs!$E$14*(1+Inputs!$E$15)^(21-Inputs!$E$13)*Inputs!$E$16))))-(((((((Inputs!$E$3*(1+(Inputs!$E$4*$C3))^(21-1))*Inputs!$E$5)*Inputs!$E$6)+((Inputs!$E$7*(1+Inputs!$E$8)^(21-1))*Inputs!$E$9)+(Inputs!$E$11*(1+Inputs!$E$12)^(21-1))+(IF(21&lt;Inputs!$E$13,0,Inputs!$E$14*(1+Inputs!$E$15)^(21-Inputs!$E$13)*Inputs!$E$16))))*Inputs!$E$26+((((Inputs!$E$3*(1+(Inputs!$E$4*$C3))^(21-1))*Inputs!$E$5)*Inputs!$E$6)+((Inputs!$E$7*(1+Inputs!$E$8)^(21-1))*Inputs!$E$9)+(IF(21&lt;Inputs!$E$13,0,Inputs!$E$14*(1+Inputs!$E$15)^(21-Inputs!$E$13)*Inputs!$E$16)))*Inputs!$E$27+(Inputs!$E$3*(1+(Inputs!$E$4*$C3))^(21-1))*Inputs!$E$30))-(((Inputs!$E$7*(1+Inputs!$E$8)^(21-1))*Inputs!$E$10))-(((((((Inputs!$E$3*(1+(Inputs!$E$4*$C3))^(21-1))*Inputs!$E$5)*Inputs!$E$6)+((Inputs!$E$7*(1+Inputs!$E$8)^(21-1))*Inputs!$E$9)+(Inputs!$E$11*(1+Inputs!$E$12)^(21-1))+(IF(21&lt;Inputs!$E$13,0,Inputs!$E$14*(1+Inputs!$E$15)^(21-Inputs!$E$13)*Inputs!$E$16))))*Inputs!$E$29))-((Inputs!$E$19+Inputs!$E$20+Inputs!$E$21+Inputs!$E$22+Inputs!$E$23))-(IF(AND(Inputs!$E$24&gt;0,21=Inputs!$E$24),Inputs!$E$25,0)))),0)*Inputs!$E$28))))+(IF(AND(Inputs!$E$17&gt;0,21=Inputs!$E$17),Inputs!$E$18,0))))</f>
        <v/>
      </c>
      <c r="AB3" s="8">
        <f>AA3+(((((((((Inputs!$E$3*(1+(Inputs!$E$4*$C3))^(22-1))*Inputs!$E$5)*Inputs!$E$6)+((Inputs!$E$7*(1+Inputs!$E$8)^(22-1))*Inputs!$E$9)+(Inputs!$E$11*(1+Inputs!$E$12)^(22-1))+(IF(22&lt;Inputs!$E$13,0,Inputs!$E$14*(1+Inputs!$E$15)^(22-Inputs!$E$13)*Inputs!$E$16))))-((((((((Inputs!$E$3*(1+(Inputs!$E$4*$C3))^(22-1))*Inputs!$E$5)*Inputs!$E$6)+((Inputs!$E$7*(1+Inputs!$E$8)^(22-1))*Inputs!$E$9)+(Inputs!$E$11*(1+Inputs!$E$12)^(22-1))+(IF(22&lt;Inputs!$E$13,0,Inputs!$E$14*(1+Inputs!$E$15)^(22-Inputs!$E$13)*Inputs!$E$16))))*Inputs!$E$26+((((Inputs!$E$3*(1+(Inputs!$E$4*$C3))^(22-1))*Inputs!$E$5)*Inputs!$E$6)+((Inputs!$E$7*(1+Inputs!$E$8)^(22-1))*Inputs!$E$9)+(IF(22&lt;Inputs!$E$13,0,Inputs!$E$14*(1+Inputs!$E$15)^(22-Inputs!$E$13)*Inputs!$E$16)))*Inputs!$E$27+(Inputs!$E$3*(1+(Inputs!$E$4*$C3))^(22-1))*Inputs!$E$30))+(((Inputs!$E$7*(1+Inputs!$E$8)^(22-1))*Inputs!$E$10))+(((((((Inputs!$E$3*(1+(Inputs!$E$4*$C3))^(22-1))*Inputs!$E$5)*Inputs!$E$6)+((Inputs!$E$7*(1+Inputs!$E$8)^(22-1))*Inputs!$E$9)+(Inputs!$E$11*(1+Inputs!$E$12)^(22-1))+(IF(22&lt;Inputs!$E$13,0,Inputs!$E$14*(1+Inputs!$E$15)^(22-Inputs!$E$13)*Inputs!$E$16))))*Inputs!$E$29))+((Inputs!$E$19+Inputs!$E$20+Inputs!$E$21+Inputs!$E$22+Inputs!$E$23))+(IF(AND(Inputs!$E$24&gt;0,22=Inputs!$E$24),Inputs!$E$25,0))+(MAX((((((((Inputs!$E$3*(1+(Inputs!$E$4*$C3))^(22-1))*Inputs!$E$5)*Inputs!$E$6)+((Inputs!$E$7*(1+Inputs!$E$8)^(22-1))*Inputs!$E$9)+(Inputs!$E$11*(1+Inputs!$E$12)^(22-1))+(IF(22&lt;Inputs!$E$13,0,Inputs!$E$14*(1+Inputs!$E$15)^(22-Inputs!$E$13)*Inputs!$E$16))))-(((((((Inputs!$E$3*(1+(Inputs!$E$4*$C3))^(22-1))*Inputs!$E$5)*Inputs!$E$6)+((Inputs!$E$7*(1+Inputs!$E$8)^(22-1))*Inputs!$E$9)+(Inputs!$E$11*(1+Inputs!$E$12)^(22-1))+(IF(22&lt;Inputs!$E$13,0,Inputs!$E$14*(1+Inputs!$E$15)^(22-Inputs!$E$13)*Inputs!$E$16))))*Inputs!$E$26+((((Inputs!$E$3*(1+(Inputs!$E$4*$C3))^(22-1))*Inputs!$E$5)*Inputs!$E$6)+((Inputs!$E$7*(1+Inputs!$E$8)^(22-1))*Inputs!$E$9)+(IF(22&lt;Inputs!$E$13,0,Inputs!$E$14*(1+Inputs!$E$15)^(22-Inputs!$E$13)*Inputs!$E$16)))*Inputs!$E$27+(Inputs!$E$3*(1+(Inputs!$E$4*$C3))^(22-1))*Inputs!$E$30))-(((Inputs!$E$7*(1+Inputs!$E$8)^(22-1))*Inputs!$E$10))-(((((((Inputs!$E$3*(1+(Inputs!$E$4*$C3))^(22-1))*Inputs!$E$5)*Inputs!$E$6)+((Inputs!$E$7*(1+Inputs!$E$8)^(22-1))*Inputs!$E$9)+(Inputs!$E$11*(1+Inputs!$E$12)^(22-1))+(IF(22&lt;Inputs!$E$13,0,Inputs!$E$14*(1+Inputs!$E$15)^(22-Inputs!$E$13)*Inputs!$E$16))))*Inputs!$E$29))-((Inputs!$E$19+Inputs!$E$20+Inputs!$E$21+Inputs!$E$22+Inputs!$E$23))-(IF(AND(Inputs!$E$24&gt;0,22=Inputs!$E$24),Inputs!$E$25,0)))),0)*Inputs!$E$28))))+(IF(AND(Inputs!$E$17&gt;0,22=Inputs!$E$17),Inputs!$E$18,0))))</f>
        <v/>
      </c>
      <c r="AC3" s="8">
        <f>AB3+(((((((((Inputs!$E$3*(1+(Inputs!$E$4*$C3))^(23-1))*Inputs!$E$5)*Inputs!$E$6)+((Inputs!$E$7*(1+Inputs!$E$8)^(23-1))*Inputs!$E$9)+(Inputs!$E$11*(1+Inputs!$E$12)^(23-1))+(IF(23&lt;Inputs!$E$13,0,Inputs!$E$14*(1+Inputs!$E$15)^(23-Inputs!$E$13)*Inputs!$E$16))))-((((((((Inputs!$E$3*(1+(Inputs!$E$4*$C3))^(23-1))*Inputs!$E$5)*Inputs!$E$6)+((Inputs!$E$7*(1+Inputs!$E$8)^(23-1))*Inputs!$E$9)+(Inputs!$E$11*(1+Inputs!$E$12)^(23-1))+(IF(23&lt;Inputs!$E$13,0,Inputs!$E$14*(1+Inputs!$E$15)^(23-Inputs!$E$13)*Inputs!$E$16))))*Inputs!$E$26+((((Inputs!$E$3*(1+(Inputs!$E$4*$C3))^(23-1))*Inputs!$E$5)*Inputs!$E$6)+((Inputs!$E$7*(1+Inputs!$E$8)^(23-1))*Inputs!$E$9)+(IF(23&lt;Inputs!$E$13,0,Inputs!$E$14*(1+Inputs!$E$15)^(23-Inputs!$E$13)*Inputs!$E$16)))*Inputs!$E$27+(Inputs!$E$3*(1+(Inputs!$E$4*$C3))^(23-1))*Inputs!$E$30))+(((Inputs!$E$7*(1+Inputs!$E$8)^(23-1))*Inputs!$E$10))+(((((((Inputs!$E$3*(1+(Inputs!$E$4*$C3))^(23-1))*Inputs!$E$5)*Inputs!$E$6)+((Inputs!$E$7*(1+Inputs!$E$8)^(23-1))*Inputs!$E$9)+(Inputs!$E$11*(1+Inputs!$E$12)^(23-1))+(IF(23&lt;Inputs!$E$13,0,Inputs!$E$14*(1+Inputs!$E$15)^(23-Inputs!$E$13)*Inputs!$E$16))))*Inputs!$E$29))+((Inputs!$E$19+Inputs!$E$20+Inputs!$E$21+Inputs!$E$22+Inputs!$E$23))+(IF(AND(Inputs!$E$24&gt;0,23=Inputs!$E$24),Inputs!$E$25,0))+(MAX((((((((Inputs!$E$3*(1+(Inputs!$E$4*$C3))^(23-1))*Inputs!$E$5)*Inputs!$E$6)+((Inputs!$E$7*(1+Inputs!$E$8)^(23-1))*Inputs!$E$9)+(Inputs!$E$11*(1+Inputs!$E$12)^(23-1))+(IF(23&lt;Inputs!$E$13,0,Inputs!$E$14*(1+Inputs!$E$15)^(23-Inputs!$E$13)*Inputs!$E$16))))-(((((((Inputs!$E$3*(1+(Inputs!$E$4*$C3))^(23-1))*Inputs!$E$5)*Inputs!$E$6)+((Inputs!$E$7*(1+Inputs!$E$8)^(23-1))*Inputs!$E$9)+(Inputs!$E$11*(1+Inputs!$E$12)^(23-1))+(IF(23&lt;Inputs!$E$13,0,Inputs!$E$14*(1+Inputs!$E$15)^(23-Inputs!$E$13)*Inputs!$E$16))))*Inputs!$E$26+((((Inputs!$E$3*(1+(Inputs!$E$4*$C3))^(23-1))*Inputs!$E$5)*Inputs!$E$6)+((Inputs!$E$7*(1+Inputs!$E$8)^(23-1))*Inputs!$E$9)+(IF(23&lt;Inputs!$E$13,0,Inputs!$E$14*(1+Inputs!$E$15)^(23-Inputs!$E$13)*Inputs!$E$16)))*Inputs!$E$27+(Inputs!$E$3*(1+(Inputs!$E$4*$C3))^(23-1))*Inputs!$E$30))-(((Inputs!$E$7*(1+Inputs!$E$8)^(23-1))*Inputs!$E$10))-(((((((Inputs!$E$3*(1+(Inputs!$E$4*$C3))^(23-1))*Inputs!$E$5)*Inputs!$E$6)+((Inputs!$E$7*(1+Inputs!$E$8)^(23-1))*Inputs!$E$9)+(Inputs!$E$11*(1+Inputs!$E$12)^(23-1))+(IF(23&lt;Inputs!$E$13,0,Inputs!$E$14*(1+Inputs!$E$15)^(23-Inputs!$E$13)*Inputs!$E$16))))*Inputs!$E$29))-((Inputs!$E$19+Inputs!$E$20+Inputs!$E$21+Inputs!$E$22+Inputs!$E$23))-(IF(AND(Inputs!$E$24&gt;0,23=Inputs!$E$24),Inputs!$E$25,0)))),0)*Inputs!$E$28))))+(IF(AND(Inputs!$E$17&gt;0,23=Inputs!$E$17),Inputs!$E$18,0))))</f>
        <v/>
      </c>
      <c r="AD3" s="8">
        <f>AC3+(((((((((Inputs!$E$3*(1+(Inputs!$E$4*$C3))^(24-1))*Inputs!$E$5)*Inputs!$E$6)+((Inputs!$E$7*(1+Inputs!$E$8)^(24-1))*Inputs!$E$9)+(Inputs!$E$11*(1+Inputs!$E$12)^(24-1))+(IF(24&lt;Inputs!$E$13,0,Inputs!$E$14*(1+Inputs!$E$15)^(24-Inputs!$E$13)*Inputs!$E$16))))-((((((((Inputs!$E$3*(1+(Inputs!$E$4*$C3))^(24-1))*Inputs!$E$5)*Inputs!$E$6)+((Inputs!$E$7*(1+Inputs!$E$8)^(24-1))*Inputs!$E$9)+(Inputs!$E$11*(1+Inputs!$E$12)^(24-1))+(IF(24&lt;Inputs!$E$13,0,Inputs!$E$14*(1+Inputs!$E$15)^(24-Inputs!$E$13)*Inputs!$E$16))))*Inputs!$E$26+((((Inputs!$E$3*(1+(Inputs!$E$4*$C3))^(24-1))*Inputs!$E$5)*Inputs!$E$6)+((Inputs!$E$7*(1+Inputs!$E$8)^(24-1))*Inputs!$E$9)+(IF(24&lt;Inputs!$E$13,0,Inputs!$E$14*(1+Inputs!$E$15)^(24-Inputs!$E$13)*Inputs!$E$16)))*Inputs!$E$27+(Inputs!$E$3*(1+(Inputs!$E$4*$C3))^(24-1))*Inputs!$E$30))+(((Inputs!$E$7*(1+Inputs!$E$8)^(24-1))*Inputs!$E$10))+(((((((Inputs!$E$3*(1+(Inputs!$E$4*$C3))^(24-1))*Inputs!$E$5)*Inputs!$E$6)+((Inputs!$E$7*(1+Inputs!$E$8)^(24-1))*Inputs!$E$9)+(Inputs!$E$11*(1+Inputs!$E$12)^(24-1))+(IF(24&lt;Inputs!$E$13,0,Inputs!$E$14*(1+Inputs!$E$15)^(24-Inputs!$E$13)*Inputs!$E$16))))*Inputs!$E$29))+((Inputs!$E$19+Inputs!$E$20+Inputs!$E$21+Inputs!$E$22+Inputs!$E$23))+(IF(AND(Inputs!$E$24&gt;0,24=Inputs!$E$24),Inputs!$E$25,0))+(MAX((((((((Inputs!$E$3*(1+(Inputs!$E$4*$C3))^(24-1))*Inputs!$E$5)*Inputs!$E$6)+((Inputs!$E$7*(1+Inputs!$E$8)^(24-1))*Inputs!$E$9)+(Inputs!$E$11*(1+Inputs!$E$12)^(24-1))+(IF(24&lt;Inputs!$E$13,0,Inputs!$E$14*(1+Inputs!$E$15)^(24-Inputs!$E$13)*Inputs!$E$16))))-(((((((Inputs!$E$3*(1+(Inputs!$E$4*$C3))^(24-1))*Inputs!$E$5)*Inputs!$E$6)+((Inputs!$E$7*(1+Inputs!$E$8)^(24-1))*Inputs!$E$9)+(Inputs!$E$11*(1+Inputs!$E$12)^(24-1))+(IF(24&lt;Inputs!$E$13,0,Inputs!$E$14*(1+Inputs!$E$15)^(24-Inputs!$E$13)*Inputs!$E$16))))*Inputs!$E$26+((((Inputs!$E$3*(1+(Inputs!$E$4*$C3))^(24-1))*Inputs!$E$5)*Inputs!$E$6)+((Inputs!$E$7*(1+Inputs!$E$8)^(24-1))*Inputs!$E$9)+(IF(24&lt;Inputs!$E$13,0,Inputs!$E$14*(1+Inputs!$E$15)^(24-Inputs!$E$13)*Inputs!$E$16)))*Inputs!$E$27+(Inputs!$E$3*(1+(Inputs!$E$4*$C3))^(24-1))*Inputs!$E$30))-(((Inputs!$E$7*(1+Inputs!$E$8)^(24-1))*Inputs!$E$10))-(((((((Inputs!$E$3*(1+(Inputs!$E$4*$C3))^(24-1))*Inputs!$E$5)*Inputs!$E$6)+((Inputs!$E$7*(1+Inputs!$E$8)^(24-1))*Inputs!$E$9)+(Inputs!$E$11*(1+Inputs!$E$12)^(24-1))+(IF(24&lt;Inputs!$E$13,0,Inputs!$E$14*(1+Inputs!$E$15)^(24-Inputs!$E$13)*Inputs!$E$16))))*Inputs!$E$29))-((Inputs!$E$19+Inputs!$E$20+Inputs!$E$21+Inputs!$E$22+Inputs!$E$23))-(IF(AND(Inputs!$E$24&gt;0,24=Inputs!$E$24),Inputs!$E$25,0)))),0)*Inputs!$E$28))))+(IF(AND(Inputs!$E$17&gt;0,24=Inputs!$E$17),Inputs!$E$18,0))))</f>
        <v/>
      </c>
      <c r="AE3" s="8">
        <f>AD3+(((((((((Inputs!$E$3*(1+(Inputs!$E$4*$C3))^(25-1))*Inputs!$E$5)*Inputs!$E$6)+((Inputs!$E$7*(1+Inputs!$E$8)^(25-1))*Inputs!$E$9)+(Inputs!$E$11*(1+Inputs!$E$12)^(25-1))+(IF(25&lt;Inputs!$E$13,0,Inputs!$E$14*(1+Inputs!$E$15)^(25-Inputs!$E$13)*Inputs!$E$16))))-((((((((Inputs!$E$3*(1+(Inputs!$E$4*$C3))^(25-1))*Inputs!$E$5)*Inputs!$E$6)+((Inputs!$E$7*(1+Inputs!$E$8)^(25-1))*Inputs!$E$9)+(Inputs!$E$11*(1+Inputs!$E$12)^(25-1))+(IF(25&lt;Inputs!$E$13,0,Inputs!$E$14*(1+Inputs!$E$15)^(25-Inputs!$E$13)*Inputs!$E$16))))*Inputs!$E$26+((((Inputs!$E$3*(1+(Inputs!$E$4*$C3))^(25-1))*Inputs!$E$5)*Inputs!$E$6)+((Inputs!$E$7*(1+Inputs!$E$8)^(25-1))*Inputs!$E$9)+(IF(25&lt;Inputs!$E$13,0,Inputs!$E$14*(1+Inputs!$E$15)^(25-Inputs!$E$13)*Inputs!$E$16)))*Inputs!$E$27+(Inputs!$E$3*(1+(Inputs!$E$4*$C3))^(25-1))*Inputs!$E$30))+(((Inputs!$E$7*(1+Inputs!$E$8)^(25-1))*Inputs!$E$10))+(((((((Inputs!$E$3*(1+(Inputs!$E$4*$C3))^(25-1))*Inputs!$E$5)*Inputs!$E$6)+((Inputs!$E$7*(1+Inputs!$E$8)^(25-1))*Inputs!$E$9)+(Inputs!$E$11*(1+Inputs!$E$12)^(25-1))+(IF(25&lt;Inputs!$E$13,0,Inputs!$E$14*(1+Inputs!$E$15)^(25-Inputs!$E$13)*Inputs!$E$16))))*Inputs!$E$29))+((Inputs!$E$19+Inputs!$E$20+Inputs!$E$21+Inputs!$E$22+Inputs!$E$23))+(IF(AND(Inputs!$E$24&gt;0,25=Inputs!$E$24),Inputs!$E$25,0))+(MAX((((((((Inputs!$E$3*(1+(Inputs!$E$4*$C3))^(25-1))*Inputs!$E$5)*Inputs!$E$6)+((Inputs!$E$7*(1+Inputs!$E$8)^(25-1))*Inputs!$E$9)+(Inputs!$E$11*(1+Inputs!$E$12)^(25-1))+(IF(25&lt;Inputs!$E$13,0,Inputs!$E$14*(1+Inputs!$E$15)^(25-Inputs!$E$13)*Inputs!$E$16))))-(((((((Inputs!$E$3*(1+(Inputs!$E$4*$C3))^(25-1))*Inputs!$E$5)*Inputs!$E$6)+((Inputs!$E$7*(1+Inputs!$E$8)^(25-1))*Inputs!$E$9)+(Inputs!$E$11*(1+Inputs!$E$12)^(25-1))+(IF(25&lt;Inputs!$E$13,0,Inputs!$E$14*(1+Inputs!$E$15)^(25-Inputs!$E$13)*Inputs!$E$16))))*Inputs!$E$26+((((Inputs!$E$3*(1+(Inputs!$E$4*$C3))^(25-1))*Inputs!$E$5)*Inputs!$E$6)+((Inputs!$E$7*(1+Inputs!$E$8)^(25-1))*Inputs!$E$9)+(IF(25&lt;Inputs!$E$13,0,Inputs!$E$14*(1+Inputs!$E$15)^(25-Inputs!$E$13)*Inputs!$E$16)))*Inputs!$E$27+(Inputs!$E$3*(1+(Inputs!$E$4*$C3))^(25-1))*Inputs!$E$30))-(((Inputs!$E$7*(1+Inputs!$E$8)^(25-1))*Inputs!$E$10))-(((((((Inputs!$E$3*(1+(Inputs!$E$4*$C3))^(25-1))*Inputs!$E$5)*Inputs!$E$6)+((Inputs!$E$7*(1+Inputs!$E$8)^(25-1))*Inputs!$E$9)+(Inputs!$E$11*(1+Inputs!$E$12)^(25-1))+(IF(25&lt;Inputs!$E$13,0,Inputs!$E$14*(1+Inputs!$E$15)^(25-Inputs!$E$13)*Inputs!$E$16))))*Inputs!$E$29))-((Inputs!$E$19+Inputs!$E$20+Inputs!$E$21+Inputs!$E$22+Inputs!$E$23))-(IF(AND(Inputs!$E$24&gt;0,25=Inputs!$E$24),Inputs!$E$25,0)))),0)*Inputs!$E$28))))+(IF(AND(Inputs!$E$17&gt;0,25=Inputs!$E$17),Inputs!$E$18,0))))</f>
        <v/>
      </c>
      <c r="AF3" s="8">
        <f>AE3+(((((((((Inputs!$E$3*(1+(Inputs!$E$4*$C3))^(26-1))*Inputs!$E$5)*Inputs!$E$6)+((Inputs!$E$7*(1+Inputs!$E$8)^(26-1))*Inputs!$E$9)+(Inputs!$E$11*(1+Inputs!$E$12)^(26-1))+(IF(26&lt;Inputs!$E$13,0,Inputs!$E$14*(1+Inputs!$E$15)^(26-Inputs!$E$13)*Inputs!$E$16))))-((((((((Inputs!$E$3*(1+(Inputs!$E$4*$C3))^(26-1))*Inputs!$E$5)*Inputs!$E$6)+((Inputs!$E$7*(1+Inputs!$E$8)^(26-1))*Inputs!$E$9)+(Inputs!$E$11*(1+Inputs!$E$12)^(26-1))+(IF(26&lt;Inputs!$E$13,0,Inputs!$E$14*(1+Inputs!$E$15)^(26-Inputs!$E$13)*Inputs!$E$16))))*Inputs!$E$26+((((Inputs!$E$3*(1+(Inputs!$E$4*$C3))^(26-1))*Inputs!$E$5)*Inputs!$E$6)+((Inputs!$E$7*(1+Inputs!$E$8)^(26-1))*Inputs!$E$9)+(IF(26&lt;Inputs!$E$13,0,Inputs!$E$14*(1+Inputs!$E$15)^(26-Inputs!$E$13)*Inputs!$E$16)))*Inputs!$E$27+(Inputs!$E$3*(1+(Inputs!$E$4*$C3))^(26-1))*Inputs!$E$30))+(((Inputs!$E$7*(1+Inputs!$E$8)^(26-1))*Inputs!$E$10))+(((((((Inputs!$E$3*(1+(Inputs!$E$4*$C3))^(26-1))*Inputs!$E$5)*Inputs!$E$6)+((Inputs!$E$7*(1+Inputs!$E$8)^(26-1))*Inputs!$E$9)+(Inputs!$E$11*(1+Inputs!$E$12)^(26-1))+(IF(26&lt;Inputs!$E$13,0,Inputs!$E$14*(1+Inputs!$E$15)^(26-Inputs!$E$13)*Inputs!$E$16))))*Inputs!$E$29))+((Inputs!$E$19+Inputs!$E$20+Inputs!$E$21+Inputs!$E$22+Inputs!$E$23))+(IF(AND(Inputs!$E$24&gt;0,26=Inputs!$E$24),Inputs!$E$25,0))+(MAX((((((((Inputs!$E$3*(1+(Inputs!$E$4*$C3))^(26-1))*Inputs!$E$5)*Inputs!$E$6)+((Inputs!$E$7*(1+Inputs!$E$8)^(26-1))*Inputs!$E$9)+(Inputs!$E$11*(1+Inputs!$E$12)^(26-1))+(IF(26&lt;Inputs!$E$13,0,Inputs!$E$14*(1+Inputs!$E$15)^(26-Inputs!$E$13)*Inputs!$E$16))))-(((((((Inputs!$E$3*(1+(Inputs!$E$4*$C3))^(26-1))*Inputs!$E$5)*Inputs!$E$6)+((Inputs!$E$7*(1+Inputs!$E$8)^(26-1))*Inputs!$E$9)+(Inputs!$E$11*(1+Inputs!$E$12)^(26-1))+(IF(26&lt;Inputs!$E$13,0,Inputs!$E$14*(1+Inputs!$E$15)^(26-Inputs!$E$13)*Inputs!$E$16))))*Inputs!$E$26+((((Inputs!$E$3*(1+(Inputs!$E$4*$C3))^(26-1))*Inputs!$E$5)*Inputs!$E$6)+((Inputs!$E$7*(1+Inputs!$E$8)^(26-1))*Inputs!$E$9)+(IF(26&lt;Inputs!$E$13,0,Inputs!$E$14*(1+Inputs!$E$15)^(26-Inputs!$E$13)*Inputs!$E$16)))*Inputs!$E$27+(Inputs!$E$3*(1+(Inputs!$E$4*$C3))^(26-1))*Inputs!$E$30))-(((Inputs!$E$7*(1+Inputs!$E$8)^(26-1))*Inputs!$E$10))-(((((((Inputs!$E$3*(1+(Inputs!$E$4*$C3))^(26-1))*Inputs!$E$5)*Inputs!$E$6)+((Inputs!$E$7*(1+Inputs!$E$8)^(26-1))*Inputs!$E$9)+(Inputs!$E$11*(1+Inputs!$E$12)^(26-1))+(IF(26&lt;Inputs!$E$13,0,Inputs!$E$14*(1+Inputs!$E$15)^(26-Inputs!$E$13)*Inputs!$E$16))))*Inputs!$E$29))-((Inputs!$E$19+Inputs!$E$20+Inputs!$E$21+Inputs!$E$22+Inputs!$E$23))-(IF(AND(Inputs!$E$24&gt;0,26=Inputs!$E$24),Inputs!$E$25,0)))),0)*Inputs!$E$28))))+(IF(AND(Inputs!$E$17&gt;0,26=Inputs!$E$17),Inputs!$E$18,0))))</f>
        <v/>
      </c>
      <c r="AG3" s="8">
        <f>AF3+(((((((((Inputs!$E$3*(1+(Inputs!$E$4*$C3))^(27-1))*Inputs!$E$5)*Inputs!$E$6)+((Inputs!$E$7*(1+Inputs!$E$8)^(27-1))*Inputs!$E$9)+(Inputs!$E$11*(1+Inputs!$E$12)^(27-1))+(IF(27&lt;Inputs!$E$13,0,Inputs!$E$14*(1+Inputs!$E$15)^(27-Inputs!$E$13)*Inputs!$E$16))))-((((((((Inputs!$E$3*(1+(Inputs!$E$4*$C3))^(27-1))*Inputs!$E$5)*Inputs!$E$6)+((Inputs!$E$7*(1+Inputs!$E$8)^(27-1))*Inputs!$E$9)+(Inputs!$E$11*(1+Inputs!$E$12)^(27-1))+(IF(27&lt;Inputs!$E$13,0,Inputs!$E$14*(1+Inputs!$E$15)^(27-Inputs!$E$13)*Inputs!$E$16))))*Inputs!$E$26+((((Inputs!$E$3*(1+(Inputs!$E$4*$C3))^(27-1))*Inputs!$E$5)*Inputs!$E$6)+((Inputs!$E$7*(1+Inputs!$E$8)^(27-1))*Inputs!$E$9)+(IF(27&lt;Inputs!$E$13,0,Inputs!$E$14*(1+Inputs!$E$15)^(27-Inputs!$E$13)*Inputs!$E$16)))*Inputs!$E$27+(Inputs!$E$3*(1+(Inputs!$E$4*$C3))^(27-1))*Inputs!$E$30))+(((Inputs!$E$7*(1+Inputs!$E$8)^(27-1))*Inputs!$E$10))+(((((((Inputs!$E$3*(1+(Inputs!$E$4*$C3))^(27-1))*Inputs!$E$5)*Inputs!$E$6)+((Inputs!$E$7*(1+Inputs!$E$8)^(27-1))*Inputs!$E$9)+(Inputs!$E$11*(1+Inputs!$E$12)^(27-1))+(IF(27&lt;Inputs!$E$13,0,Inputs!$E$14*(1+Inputs!$E$15)^(27-Inputs!$E$13)*Inputs!$E$16))))*Inputs!$E$29))+((Inputs!$E$19+Inputs!$E$20+Inputs!$E$21+Inputs!$E$22+Inputs!$E$23))+(IF(AND(Inputs!$E$24&gt;0,27=Inputs!$E$24),Inputs!$E$25,0))+(MAX((((((((Inputs!$E$3*(1+(Inputs!$E$4*$C3))^(27-1))*Inputs!$E$5)*Inputs!$E$6)+((Inputs!$E$7*(1+Inputs!$E$8)^(27-1))*Inputs!$E$9)+(Inputs!$E$11*(1+Inputs!$E$12)^(27-1))+(IF(27&lt;Inputs!$E$13,0,Inputs!$E$14*(1+Inputs!$E$15)^(27-Inputs!$E$13)*Inputs!$E$16))))-(((((((Inputs!$E$3*(1+(Inputs!$E$4*$C3))^(27-1))*Inputs!$E$5)*Inputs!$E$6)+((Inputs!$E$7*(1+Inputs!$E$8)^(27-1))*Inputs!$E$9)+(Inputs!$E$11*(1+Inputs!$E$12)^(27-1))+(IF(27&lt;Inputs!$E$13,0,Inputs!$E$14*(1+Inputs!$E$15)^(27-Inputs!$E$13)*Inputs!$E$16))))*Inputs!$E$26+((((Inputs!$E$3*(1+(Inputs!$E$4*$C3))^(27-1))*Inputs!$E$5)*Inputs!$E$6)+((Inputs!$E$7*(1+Inputs!$E$8)^(27-1))*Inputs!$E$9)+(IF(27&lt;Inputs!$E$13,0,Inputs!$E$14*(1+Inputs!$E$15)^(27-Inputs!$E$13)*Inputs!$E$16)))*Inputs!$E$27+(Inputs!$E$3*(1+(Inputs!$E$4*$C3))^(27-1))*Inputs!$E$30))-(((Inputs!$E$7*(1+Inputs!$E$8)^(27-1))*Inputs!$E$10))-(((((((Inputs!$E$3*(1+(Inputs!$E$4*$C3))^(27-1))*Inputs!$E$5)*Inputs!$E$6)+((Inputs!$E$7*(1+Inputs!$E$8)^(27-1))*Inputs!$E$9)+(Inputs!$E$11*(1+Inputs!$E$12)^(27-1))+(IF(27&lt;Inputs!$E$13,0,Inputs!$E$14*(1+Inputs!$E$15)^(27-Inputs!$E$13)*Inputs!$E$16))))*Inputs!$E$29))-((Inputs!$E$19+Inputs!$E$20+Inputs!$E$21+Inputs!$E$22+Inputs!$E$23))-(IF(AND(Inputs!$E$24&gt;0,27=Inputs!$E$24),Inputs!$E$25,0)))),0)*Inputs!$E$28))))+(IF(AND(Inputs!$E$17&gt;0,27=Inputs!$E$17),Inputs!$E$18,0))))</f>
        <v/>
      </c>
      <c r="AH3" s="8">
        <f>AG3+(((((((((Inputs!$E$3*(1+(Inputs!$E$4*$C3))^(28-1))*Inputs!$E$5)*Inputs!$E$6)+((Inputs!$E$7*(1+Inputs!$E$8)^(28-1))*Inputs!$E$9)+(Inputs!$E$11*(1+Inputs!$E$12)^(28-1))+(IF(28&lt;Inputs!$E$13,0,Inputs!$E$14*(1+Inputs!$E$15)^(28-Inputs!$E$13)*Inputs!$E$16))))-((((((((Inputs!$E$3*(1+(Inputs!$E$4*$C3))^(28-1))*Inputs!$E$5)*Inputs!$E$6)+((Inputs!$E$7*(1+Inputs!$E$8)^(28-1))*Inputs!$E$9)+(Inputs!$E$11*(1+Inputs!$E$12)^(28-1))+(IF(28&lt;Inputs!$E$13,0,Inputs!$E$14*(1+Inputs!$E$15)^(28-Inputs!$E$13)*Inputs!$E$16))))*Inputs!$E$26+((((Inputs!$E$3*(1+(Inputs!$E$4*$C3))^(28-1))*Inputs!$E$5)*Inputs!$E$6)+((Inputs!$E$7*(1+Inputs!$E$8)^(28-1))*Inputs!$E$9)+(IF(28&lt;Inputs!$E$13,0,Inputs!$E$14*(1+Inputs!$E$15)^(28-Inputs!$E$13)*Inputs!$E$16)))*Inputs!$E$27+(Inputs!$E$3*(1+(Inputs!$E$4*$C3))^(28-1))*Inputs!$E$30))+(((Inputs!$E$7*(1+Inputs!$E$8)^(28-1))*Inputs!$E$10))+(((((((Inputs!$E$3*(1+(Inputs!$E$4*$C3))^(28-1))*Inputs!$E$5)*Inputs!$E$6)+((Inputs!$E$7*(1+Inputs!$E$8)^(28-1))*Inputs!$E$9)+(Inputs!$E$11*(1+Inputs!$E$12)^(28-1))+(IF(28&lt;Inputs!$E$13,0,Inputs!$E$14*(1+Inputs!$E$15)^(28-Inputs!$E$13)*Inputs!$E$16))))*Inputs!$E$29))+((Inputs!$E$19+Inputs!$E$20+Inputs!$E$21+Inputs!$E$22+Inputs!$E$23))+(IF(AND(Inputs!$E$24&gt;0,28=Inputs!$E$24),Inputs!$E$25,0))+(MAX((((((((Inputs!$E$3*(1+(Inputs!$E$4*$C3))^(28-1))*Inputs!$E$5)*Inputs!$E$6)+((Inputs!$E$7*(1+Inputs!$E$8)^(28-1))*Inputs!$E$9)+(Inputs!$E$11*(1+Inputs!$E$12)^(28-1))+(IF(28&lt;Inputs!$E$13,0,Inputs!$E$14*(1+Inputs!$E$15)^(28-Inputs!$E$13)*Inputs!$E$16))))-(((((((Inputs!$E$3*(1+(Inputs!$E$4*$C3))^(28-1))*Inputs!$E$5)*Inputs!$E$6)+((Inputs!$E$7*(1+Inputs!$E$8)^(28-1))*Inputs!$E$9)+(Inputs!$E$11*(1+Inputs!$E$12)^(28-1))+(IF(28&lt;Inputs!$E$13,0,Inputs!$E$14*(1+Inputs!$E$15)^(28-Inputs!$E$13)*Inputs!$E$16))))*Inputs!$E$26+((((Inputs!$E$3*(1+(Inputs!$E$4*$C3))^(28-1))*Inputs!$E$5)*Inputs!$E$6)+((Inputs!$E$7*(1+Inputs!$E$8)^(28-1))*Inputs!$E$9)+(IF(28&lt;Inputs!$E$13,0,Inputs!$E$14*(1+Inputs!$E$15)^(28-Inputs!$E$13)*Inputs!$E$16)))*Inputs!$E$27+(Inputs!$E$3*(1+(Inputs!$E$4*$C3))^(28-1))*Inputs!$E$30))-(((Inputs!$E$7*(1+Inputs!$E$8)^(28-1))*Inputs!$E$10))-(((((((Inputs!$E$3*(1+(Inputs!$E$4*$C3))^(28-1))*Inputs!$E$5)*Inputs!$E$6)+((Inputs!$E$7*(1+Inputs!$E$8)^(28-1))*Inputs!$E$9)+(Inputs!$E$11*(1+Inputs!$E$12)^(28-1))+(IF(28&lt;Inputs!$E$13,0,Inputs!$E$14*(1+Inputs!$E$15)^(28-Inputs!$E$13)*Inputs!$E$16))))*Inputs!$E$29))-((Inputs!$E$19+Inputs!$E$20+Inputs!$E$21+Inputs!$E$22+Inputs!$E$23))-(IF(AND(Inputs!$E$24&gt;0,28=Inputs!$E$24),Inputs!$E$25,0)))),0)*Inputs!$E$28))))+(IF(AND(Inputs!$E$17&gt;0,28=Inputs!$E$17),Inputs!$E$18,0))))</f>
        <v/>
      </c>
      <c r="AI3" s="8">
        <f>AH3+(((((((((Inputs!$E$3*(1+(Inputs!$E$4*$C3))^(29-1))*Inputs!$E$5)*Inputs!$E$6)+((Inputs!$E$7*(1+Inputs!$E$8)^(29-1))*Inputs!$E$9)+(Inputs!$E$11*(1+Inputs!$E$12)^(29-1))+(IF(29&lt;Inputs!$E$13,0,Inputs!$E$14*(1+Inputs!$E$15)^(29-Inputs!$E$13)*Inputs!$E$16))))-((((((((Inputs!$E$3*(1+(Inputs!$E$4*$C3))^(29-1))*Inputs!$E$5)*Inputs!$E$6)+((Inputs!$E$7*(1+Inputs!$E$8)^(29-1))*Inputs!$E$9)+(Inputs!$E$11*(1+Inputs!$E$12)^(29-1))+(IF(29&lt;Inputs!$E$13,0,Inputs!$E$14*(1+Inputs!$E$15)^(29-Inputs!$E$13)*Inputs!$E$16))))*Inputs!$E$26+((((Inputs!$E$3*(1+(Inputs!$E$4*$C3))^(29-1))*Inputs!$E$5)*Inputs!$E$6)+((Inputs!$E$7*(1+Inputs!$E$8)^(29-1))*Inputs!$E$9)+(IF(29&lt;Inputs!$E$13,0,Inputs!$E$14*(1+Inputs!$E$15)^(29-Inputs!$E$13)*Inputs!$E$16)))*Inputs!$E$27+(Inputs!$E$3*(1+(Inputs!$E$4*$C3))^(29-1))*Inputs!$E$30))+(((Inputs!$E$7*(1+Inputs!$E$8)^(29-1))*Inputs!$E$10))+(((((((Inputs!$E$3*(1+(Inputs!$E$4*$C3))^(29-1))*Inputs!$E$5)*Inputs!$E$6)+((Inputs!$E$7*(1+Inputs!$E$8)^(29-1))*Inputs!$E$9)+(Inputs!$E$11*(1+Inputs!$E$12)^(29-1))+(IF(29&lt;Inputs!$E$13,0,Inputs!$E$14*(1+Inputs!$E$15)^(29-Inputs!$E$13)*Inputs!$E$16))))*Inputs!$E$29))+((Inputs!$E$19+Inputs!$E$20+Inputs!$E$21+Inputs!$E$22+Inputs!$E$23))+(IF(AND(Inputs!$E$24&gt;0,29=Inputs!$E$24),Inputs!$E$25,0))+(MAX((((((((Inputs!$E$3*(1+(Inputs!$E$4*$C3))^(29-1))*Inputs!$E$5)*Inputs!$E$6)+((Inputs!$E$7*(1+Inputs!$E$8)^(29-1))*Inputs!$E$9)+(Inputs!$E$11*(1+Inputs!$E$12)^(29-1))+(IF(29&lt;Inputs!$E$13,0,Inputs!$E$14*(1+Inputs!$E$15)^(29-Inputs!$E$13)*Inputs!$E$16))))-(((((((Inputs!$E$3*(1+(Inputs!$E$4*$C3))^(29-1))*Inputs!$E$5)*Inputs!$E$6)+((Inputs!$E$7*(1+Inputs!$E$8)^(29-1))*Inputs!$E$9)+(Inputs!$E$11*(1+Inputs!$E$12)^(29-1))+(IF(29&lt;Inputs!$E$13,0,Inputs!$E$14*(1+Inputs!$E$15)^(29-Inputs!$E$13)*Inputs!$E$16))))*Inputs!$E$26+((((Inputs!$E$3*(1+(Inputs!$E$4*$C3))^(29-1))*Inputs!$E$5)*Inputs!$E$6)+((Inputs!$E$7*(1+Inputs!$E$8)^(29-1))*Inputs!$E$9)+(IF(29&lt;Inputs!$E$13,0,Inputs!$E$14*(1+Inputs!$E$15)^(29-Inputs!$E$13)*Inputs!$E$16)))*Inputs!$E$27+(Inputs!$E$3*(1+(Inputs!$E$4*$C3))^(29-1))*Inputs!$E$30))-(((Inputs!$E$7*(1+Inputs!$E$8)^(29-1))*Inputs!$E$10))-(((((((Inputs!$E$3*(1+(Inputs!$E$4*$C3))^(29-1))*Inputs!$E$5)*Inputs!$E$6)+((Inputs!$E$7*(1+Inputs!$E$8)^(29-1))*Inputs!$E$9)+(Inputs!$E$11*(1+Inputs!$E$12)^(29-1))+(IF(29&lt;Inputs!$E$13,0,Inputs!$E$14*(1+Inputs!$E$15)^(29-Inputs!$E$13)*Inputs!$E$16))))*Inputs!$E$29))-((Inputs!$E$19+Inputs!$E$20+Inputs!$E$21+Inputs!$E$22+Inputs!$E$23))-(IF(AND(Inputs!$E$24&gt;0,29=Inputs!$E$24),Inputs!$E$25,0)))),0)*Inputs!$E$28))))+(IF(AND(Inputs!$E$17&gt;0,29=Inputs!$E$17),Inputs!$E$18,0))))</f>
        <v/>
      </c>
      <c r="AJ3" s="8">
        <f>AI3+(((((((((Inputs!$E$3*(1+(Inputs!$E$4*$C3))^(30-1))*Inputs!$E$5)*Inputs!$E$6)+((Inputs!$E$7*(1+Inputs!$E$8)^(30-1))*Inputs!$E$9)+(Inputs!$E$11*(1+Inputs!$E$12)^(30-1))+(IF(30&lt;Inputs!$E$13,0,Inputs!$E$14*(1+Inputs!$E$15)^(30-Inputs!$E$13)*Inputs!$E$16))))-((((((((Inputs!$E$3*(1+(Inputs!$E$4*$C3))^(30-1))*Inputs!$E$5)*Inputs!$E$6)+((Inputs!$E$7*(1+Inputs!$E$8)^(30-1))*Inputs!$E$9)+(Inputs!$E$11*(1+Inputs!$E$12)^(30-1))+(IF(30&lt;Inputs!$E$13,0,Inputs!$E$14*(1+Inputs!$E$15)^(30-Inputs!$E$13)*Inputs!$E$16))))*Inputs!$E$26+((((Inputs!$E$3*(1+(Inputs!$E$4*$C3))^(30-1))*Inputs!$E$5)*Inputs!$E$6)+((Inputs!$E$7*(1+Inputs!$E$8)^(30-1))*Inputs!$E$9)+(IF(30&lt;Inputs!$E$13,0,Inputs!$E$14*(1+Inputs!$E$15)^(30-Inputs!$E$13)*Inputs!$E$16)))*Inputs!$E$27+(Inputs!$E$3*(1+(Inputs!$E$4*$C3))^(30-1))*Inputs!$E$30))+(((Inputs!$E$7*(1+Inputs!$E$8)^(30-1))*Inputs!$E$10))+(((((((Inputs!$E$3*(1+(Inputs!$E$4*$C3))^(30-1))*Inputs!$E$5)*Inputs!$E$6)+((Inputs!$E$7*(1+Inputs!$E$8)^(30-1))*Inputs!$E$9)+(Inputs!$E$11*(1+Inputs!$E$12)^(30-1))+(IF(30&lt;Inputs!$E$13,0,Inputs!$E$14*(1+Inputs!$E$15)^(30-Inputs!$E$13)*Inputs!$E$16))))*Inputs!$E$29))+((Inputs!$E$19+Inputs!$E$20+Inputs!$E$21+Inputs!$E$22+Inputs!$E$23))+(IF(AND(Inputs!$E$24&gt;0,30=Inputs!$E$24),Inputs!$E$25,0))+(MAX((((((((Inputs!$E$3*(1+(Inputs!$E$4*$C3))^(30-1))*Inputs!$E$5)*Inputs!$E$6)+((Inputs!$E$7*(1+Inputs!$E$8)^(30-1))*Inputs!$E$9)+(Inputs!$E$11*(1+Inputs!$E$12)^(30-1))+(IF(30&lt;Inputs!$E$13,0,Inputs!$E$14*(1+Inputs!$E$15)^(30-Inputs!$E$13)*Inputs!$E$16))))-(((((((Inputs!$E$3*(1+(Inputs!$E$4*$C3))^(30-1))*Inputs!$E$5)*Inputs!$E$6)+((Inputs!$E$7*(1+Inputs!$E$8)^(30-1))*Inputs!$E$9)+(Inputs!$E$11*(1+Inputs!$E$12)^(30-1))+(IF(30&lt;Inputs!$E$13,0,Inputs!$E$14*(1+Inputs!$E$15)^(30-Inputs!$E$13)*Inputs!$E$16))))*Inputs!$E$26+((((Inputs!$E$3*(1+(Inputs!$E$4*$C3))^(30-1))*Inputs!$E$5)*Inputs!$E$6)+((Inputs!$E$7*(1+Inputs!$E$8)^(30-1))*Inputs!$E$9)+(IF(30&lt;Inputs!$E$13,0,Inputs!$E$14*(1+Inputs!$E$15)^(30-Inputs!$E$13)*Inputs!$E$16)))*Inputs!$E$27+(Inputs!$E$3*(1+(Inputs!$E$4*$C3))^(30-1))*Inputs!$E$30))-(((Inputs!$E$7*(1+Inputs!$E$8)^(30-1))*Inputs!$E$10))-(((((((Inputs!$E$3*(1+(Inputs!$E$4*$C3))^(30-1))*Inputs!$E$5)*Inputs!$E$6)+((Inputs!$E$7*(1+Inputs!$E$8)^(30-1))*Inputs!$E$9)+(Inputs!$E$11*(1+Inputs!$E$12)^(30-1))+(IF(30&lt;Inputs!$E$13,0,Inputs!$E$14*(1+Inputs!$E$15)^(30-Inputs!$E$13)*Inputs!$E$16))))*Inputs!$E$29))-((Inputs!$E$19+Inputs!$E$20+Inputs!$E$21+Inputs!$E$22+Inputs!$E$23))-(IF(AND(Inputs!$E$24&gt;0,30=Inputs!$E$24),Inputs!$E$25,0)))),0)*Inputs!$E$28))))+(IF(AND(Inputs!$E$17&gt;0,30=Inputs!$E$17),Inputs!$E$18,0))))</f>
        <v/>
      </c>
      <c r="AK3" s="8">
        <f>AJ3+(((((((((Inputs!$E$3*(1+(Inputs!$E$4*$C3))^(31-1))*Inputs!$E$5)*Inputs!$E$6)+((Inputs!$E$7*(1+Inputs!$E$8)^(31-1))*Inputs!$E$9)+(Inputs!$E$11*(1+Inputs!$E$12)^(31-1))+(IF(31&lt;Inputs!$E$13,0,Inputs!$E$14*(1+Inputs!$E$15)^(31-Inputs!$E$13)*Inputs!$E$16))))-((((((((Inputs!$E$3*(1+(Inputs!$E$4*$C3))^(31-1))*Inputs!$E$5)*Inputs!$E$6)+((Inputs!$E$7*(1+Inputs!$E$8)^(31-1))*Inputs!$E$9)+(Inputs!$E$11*(1+Inputs!$E$12)^(31-1))+(IF(31&lt;Inputs!$E$13,0,Inputs!$E$14*(1+Inputs!$E$15)^(31-Inputs!$E$13)*Inputs!$E$16))))*Inputs!$E$26+((((Inputs!$E$3*(1+(Inputs!$E$4*$C3))^(31-1))*Inputs!$E$5)*Inputs!$E$6)+((Inputs!$E$7*(1+Inputs!$E$8)^(31-1))*Inputs!$E$9)+(IF(31&lt;Inputs!$E$13,0,Inputs!$E$14*(1+Inputs!$E$15)^(31-Inputs!$E$13)*Inputs!$E$16)))*Inputs!$E$27+(Inputs!$E$3*(1+(Inputs!$E$4*$C3))^(31-1))*Inputs!$E$30))+(((Inputs!$E$7*(1+Inputs!$E$8)^(31-1))*Inputs!$E$10))+(((((((Inputs!$E$3*(1+(Inputs!$E$4*$C3))^(31-1))*Inputs!$E$5)*Inputs!$E$6)+((Inputs!$E$7*(1+Inputs!$E$8)^(31-1))*Inputs!$E$9)+(Inputs!$E$11*(1+Inputs!$E$12)^(31-1))+(IF(31&lt;Inputs!$E$13,0,Inputs!$E$14*(1+Inputs!$E$15)^(31-Inputs!$E$13)*Inputs!$E$16))))*Inputs!$E$29))+((Inputs!$E$19+Inputs!$E$20+Inputs!$E$21+Inputs!$E$22+Inputs!$E$23))+(IF(AND(Inputs!$E$24&gt;0,31=Inputs!$E$24),Inputs!$E$25,0))+(MAX((((((((Inputs!$E$3*(1+(Inputs!$E$4*$C3))^(31-1))*Inputs!$E$5)*Inputs!$E$6)+((Inputs!$E$7*(1+Inputs!$E$8)^(31-1))*Inputs!$E$9)+(Inputs!$E$11*(1+Inputs!$E$12)^(31-1))+(IF(31&lt;Inputs!$E$13,0,Inputs!$E$14*(1+Inputs!$E$15)^(31-Inputs!$E$13)*Inputs!$E$16))))-(((((((Inputs!$E$3*(1+(Inputs!$E$4*$C3))^(31-1))*Inputs!$E$5)*Inputs!$E$6)+((Inputs!$E$7*(1+Inputs!$E$8)^(31-1))*Inputs!$E$9)+(Inputs!$E$11*(1+Inputs!$E$12)^(31-1))+(IF(31&lt;Inputs!$E$13,0,Inputs!$E$14*(1+Inputs!$E$15)^(31-Inputs!$E$13)*Inputs!$E$16))))*Inputs!$E$26+((((Inputs!$E$3*(1+(Inputs!$E$4*$C3))^(31-1))*Inputs!$E$5)*Inputs!$E$6)+((Inputs!$E$7*(1+Inputs!$E$8)^(31-1))*Inputs!$E$9)+(IF(31&lt;Inputs!$E$13,0,Inputs!$E$14*(1+Inputs!$E$15)^(31-Inputs!$E$13)*Inputs!$E$16)))*Inputs!$E$27+(Inputs!$E$3*(1+(Inputs!$E$4*$C3))^(31-1))*Inputs!$E$30))-(((Inputs!$E$7*(1+Inputs!$E$8)^(31-1))*Inputs!$E$10))-(((((((Inputs!$E$3*(1+(Inputs!$E$4*$C3))^(31-1))*Inputs!$E$5)*Inputs!$E$6)+((Inputs!$E$7*(1+Inputs!$E$8)^(31-1))*Inputs!$E$9)+(Inputs!$E$11*(1+Inputs!$E$12)^(31-1))+(IF(31&lt;Inputs!$E$13,0,Inputs!$E$14*(1+Inputs!$E$15)^(31-Inputs!$E$13)*Inputs!$E$16))))*Inputs!$E$29))-((Inputs!$E$19+Inputs!$E$20+Inputs!$E$21+Inputs!$E$22+Inputs!$E$23))-(IF(AND(Inputs!$E$24&gt;0,31=Inputs!$E$24),Inputs!$E$25,0)))),0)*Inputs!$E$28))))+(IF(AND(Inputs!$E$17&gt;0,31=Inputs!$E$17),Inputs!$E$18,0))))</f>
        <v/>
      </c>
      <c r="AL3" s="8">
        <f>AK3+(((((((((Inputs!$E$3*(1+(Inputs!$E$4*$C3))^(32-1))*Inputs!$E$5)*Inputs!$E$6)+((Inputs!$E$7*(1+Inputs!$E$8)^(32-1))*Inputs!$E$9)+(Inputs!$E$11*(1+Inputs!$E$12)^(32-1))+(IF(32&lt;Inputs!$E$13,0,Inputs!$E$14*(1+Inputs!$E$15)^(32-Inputs!$E$13)*Inputs!$E$16))))-((((((((Inputs!$E$3*(1+(Inputs!$E$4*$C3))^(32-1))*Inputs!$E$5)*Inputs!$E$6)+((Inputs!$E$7*(1+Inputs!$E$8)^(32-1))*Inputs!$E$9)+(Inputs!$E$11*(1+Inputs!$E$12)^(32-1))+(IF(32&lt;Inputs!$E$13,0,Inputs!$E$14*(1+Inputs!$E$15)^(32-Inputs!$E$13)*Inputs!$E$16))))*Inputs!$E$26+((((Inputs!$E$3*(1+(Inputs!$E$4*$C3))^(32-1))*Inputs!$E$5)*Inputs!$E$6)+((Inputs!$E$7*(1+Inputs!$E$8)^(32-1))*Inputs!$E$9)+(IF(32&lt;Inputs!$E$13,0,Inputs!$E$14*(1+Inputs!$E$15)^(32-Inputs!$E$13)*Inputs!$E$16)))*Inputs!$E$27+(Inputs!$E$3*(1+(Inputs!$E$4*$C3))^(32-1))*Inputs!$E$30))+(((Inputs!$E$7*(1+Inputs!$E$8)^(32-1))*Inputs!$E$10))+(((((((Inputs!$E$3*(1+(Inputs!$E$4*$C3))^(32-1))*Inputs!$E$5)*Inputs!$E$6)+((Inputs!$E$7*(1+Inputs!$E$8)^(32-1))*Inputs!$E$9)+(Inputs!$E$11*(1+Inputs!$E$12)^(32-1))+(IF(32&lt;Inputs!$E$13,0,Inputs!$E$14*(1+Inputs!$E$15)^(32-Inputs!$E$13)*Inputs!$E$16))))*Inputs!$E$29))+((Inputs!$E$19+Inputs!$E$20+Inputs!$E$21+Inputs!$E$22+Inputs!$E$23))+(IF(AND(Inputs!$E$24&gt;0,32=Inputs!$E$24),Inputs!$E$25,0))+(MAX((((((((Inputs!$E$3*(1+(Inputs!$E$4*$C3))^(32-1))*Inputs!$E$5)*Inputs!$E$6)+((Inputs!$E$7*(1+Inputs!$E$8)^(32-1))*Inputs!$E$9)+(Inputs!$E$11*(1+Inputs!$E$12)^(32-1))+(IF(32&lt;Inputs!$E$13,0,Inputs!$E$14*(1+Inputs!$E$15)^(32-Inputs!$E$13)*Inputs!$E$16))))-(((((((Inputs!$E$3*(1+(Inputs!$E$4*$C3))^(32-1))*Inputs!$E$5)*Inputs!$E$6)+((Inputs!$E$7*(1+Inputs!$E$8)^(32-1))*Inputs!$E$9)+(Inputs!$E$11*(1+Inputs!$E$12)^(32-1))+(IF(32&lt;Inputs!$E$13,0,Inputs!$E$14*(1+Inputs!$E$15)^(32-Inputs!$E$13)*Inputs!$E$16))))*Inputs!$E$26+((((Inputs!$E$3*(1+(Inputs!$E$4*$C3))^(32-1))*Inputs!$E$5)*Inputs!$E$6)+((Inputs!$E$7*(1+Inputs!$E$8)^(32-1))*Inputs!$E$9)+(IF(32&lt;Inputs!$E$13,0,Inputs!$E$14*(1+Inputs!$E$15)^(32-Inputs!$E$13)*Inputs!$E$16)))*Inputs!$E$27+(Inputs!$E$3*(1+(Inputs!$E$4*$C3))^(32-1))*Inputs!$E$30))-(((Inputs!$E$7*(1+Inputs!$E$8)^(32-1))*Inputs!$E$10))-(((((((Inputs!$E$3*(1+(Inputs!$E$4*$C3))^(32-1))*Inputs!$E$5)*Inputs!$E$6)+((Inputs!$E$7*(1+Inputs!$E$8)^(32-1))*Inputs!$E$9)+(Inputs!$E$11*(1+Inputs!$E$12)^(32-1))+(IF(32&lt;Inputs!$E$13,0,Inputs!$E$14*(1+Inputs!$E$15)^(32-Inputs!$E$13)*Inputs!$E$16))))*Inputs!$E$29))-((Inputs!$E$19+Inputs!$E$20+Inputs!$E$21+Inputs!$E$22+Inputs!$E$23))-(IF(AND(Inputs!$E$24&gt;0,32=Inputs!$E$24),Inputs!$E$25,0)))),0)*Inputs!$E$28))))+(IF(AND(Inputs!$E$17&gt;0,32=Inputs!$E$17),Inputs!$E$18,0))))</f>
        <v/>
      </c>
      <c r="AM3" s="8">
        <f>AL3+(((((((((Inputs!$E$3*(1+(Inputs!$E$4*$C3))^(33-1))*Inputs!$E$5)*Inputs!$E$6)+((Inputs!$E$7*(1+Inputs!$E$8)^(33-1))*Inputs!$E$9)+(Inputs!$E$11*(1+Inputs!$E$12)^(33-1))+(IF(33&lt;Inputs!$E$13,0,Inputs!$E$14*(1+Inputs!$E$15)^(33-Inputs!$E$13)*Inputs!$E$16))))-((((((((Inputs!$E$3*(1+(Inputs!$E$4*$C3))^(33-1))*Inputs!$E$5)*Inputs!$E$6)+((Inputs!$E$7*(1+Inputs!$E$8)^(33-1))*Inputs!$E$9)+(Inputs!$E$11*(1+Inputs!$E$12)^(33-1))+(IF(33&lt;Inputs!$E$13,0,Inputs!$E$14*(1+Inputs!$E$15)^(33-Inputs!$E$13)*Inputs!$E$16))))*Inputs!$E$26+((((Inputs!$E$3*(1+(Inputs!$E$4*$C3))^(33-1))*Inputs!$E$5)*Inputs!$E$6)+((Inputs!$E$7*(1+Inputs!$E$8)^(33-1))*Inputs!$E$9)+(IF(33&lt;Inputs!$E$13,0,Inputs!$E$14*(1+Inputs!$E$15)^(33-Inputs!$E$13)*Inputs!$E$16)))*Inputs!$E$27+(Inputs!$E$3*(1+(Inputs!$E$4*$C3))^(33-1))*Inputs!$E$30))+(((Inputs!$E$7*(1+Inputs!$E$8)^(33-1))*Inputs!$E$10))+(((((((Inputs!$E$3*(1+(Inputs!$E$4*$C3))^(33-1))*Inputs!$E$5)*Inputs!$E$6)+((Inputs!$E$7*(1+Inputs!$E$8)^(33-1))*Inputs!$E$9)+(Inputs!$E$11*(1+Inputs!$E$12)^(33-1))+(IF(33&lt;Inputs!$E$13,0,Inputs!$E$14*(1+Inputs!$E$15)^(33-Inputs!$E$13)*Inputs!$E$16))))*Inputs!$E$29))+((Inputs!$E$19+Inputs!$E$20+Inputs!$E$21+Inputs!$E$22+Inputs!$E$23))+(IF(AND(Inputs!$E$24&gt;0,33=Inputs!$E$24),Inputs!$E$25,0))+(MAX((((((((Inputs!$E$3*(1+(Inputs!$E$4*$C3))^(33-1))*Inputs!$E$5)*Inputs!$E$6)+((Inputs!$E$7*(1+Inputs!$E$8)^(33-1))*Inputs!$E$9)+(Inputs!$E$11*(1+Inputs!$E$12)^(33-1))+(IF(33&lt;Inputs!$E$13,0,Inputs!$E$14*(1+Inputs!$E$15)^(33-Inputs!$E$13)*Inputs!$E$16))))-(((((((Inputs!$E$3*(1+(Inputs!$E$4*$C3))^(33-1))*Inputs!$E$5)*Inputs!$E$6)+((Inputs!$E$7*(1+Inputs!$E$8)^(33-1))*Inputs!$E$9)+(Inputs!$E$11*(1+Inputs!$E$12)^(33-1))+(IF(33&lt;Inputs!$E$13,0,Inputs!$E$14*(1+Inputs!$E$15)^(33-Inputs!$E$13)*Inputs!$E$16))))*Inputs!$E$26+((((Inputs!$E$3*(1+(Inputs!$E$4*$C3))^(33-1))*Inputs!$E$5)*Inputs!$E$6)+((Inputs!$E$7*(1+Inputs!$E$8)^(33-1))*Inputs!$E$9)+(IF(33&lt;Inputs!$E$13,0,Inputs!$E$14*(1+Inputs!$E$15)^(33-Inputs!$E$13)*Inputs!$E$16)))*Inputs!$E$27+(Inputs!$E$3*(1+(Inputs!$E$4*$C3))^(33-1))*Inputs!$E$30))-(((Inputs!$E$7*(1+Inputs!$E$8)^(33-1))*Inputs!$E$10))-(((((((Inputs!$E$3*(1+(Inputs!$E$4*$C3))^(33-1))*Inputs!$E$5)*Inputs!$E$6)+((Inputs!$E$7*(1+Inputs!$E$8)^(33-1))*Inputs!$E$9)+(Inputs!$E$11*(1+Inputs!$E$12)^(33-1))+(IF(33&lt;Inputs!$E$13,0,Inputs!$E$14*(1+Inputs!$E$15)^(33-Inputs!$E$13)*Inputs!$E$16))))*Inputs!$E$29))-((Inputs!$E$19+Inputs!$E$20+Inputs!$E$21+Inputs!$E$22+Inputs!$E$23))-(IF(AND(Inputs!$E$24&gt;0,33=Inputs!$E$24),Inputs!$E$25,0)))),0)*Inputs!$E$28))))+(IF(AND(Inputs!$E$17&gt;0,33=Inputs!$E$17),Inputs!$E$18,0))))</f>
        <v/>
      </c>
      <c r="AN3" s="8">
        <f>AM3+(((((((((Inputs!$E$3*(1+(Inputs!$E$4*$C3))^(34-1))*Inputs!$E$5)*Inputs!$E$6)+((Inputs!$E$7*(1+Inputs!$E$8)^(34-1))*Inputs!$E$9)+(Inputs!$E$11*(1+Inputs!$E$12)^(34-1))+(IF(34&lt;Inputs!$E$13,0,Inputs!$E$14*(1+Inputs!$E$15)^(34-Inputs!$E$13)*Inputs!$E$16))))-((((((((Inputs!$E$3*(1+(Inputs!$E$4*$C3))^(34-1))*Inputs!$E$5)*Inputs!$E$6)+((Inputs!$E$7*(1+Inputs!$E$8)^(34-1))*Inputs!$E$9)+(Inputs!$E$11*(1+Inputs!$E$12)^(34-1))+(IF(34&lt;Inputs!$E$13,0,Inputs!$E$14*(1+Inputs!$E$15)^(34-Inputs!$E$13)*Inputs!$E$16))))*Inputs!$E$26+((((Inputs!$E$3*(1+(Inputs!$E$4*$C3))^(34-1))*Inputs!$E$5)*Inputs!$E$6)+((Inputs!$E$7*(1+Inputs!$E$8)^(34-1))*Inputs!$E$9)+(IF(34&lt;Inputs!$E$13,0,Inputs!$E$14*(1+Inputs!$E$15)^(34-Inputs!$E$13)*Inputs!$E$16)))*Inputs!$E$27+(Inputs!$E$3*(1+(Inputs!$E$4*$C3))^(34-1))*Inputs!$E$30))+(((Inputs!$E$7*(1+Inputs!$E$8)^(34-1))*Inputs!$E$10))+(((((((Inputs!$E$3*(1+(Inputs!$E$4*$C3))^(34-1))*Inputs!$E$5)*Inputs!$E$6)+((Inputs!$E$7*(1+Inputs!$E$8)^(34-1))*Inputs!$E$9)+(Inputs!$E$11*(1+Inputs!$E$12)^(34-1))+(IF(34&lt;Inputs!$E$13,0,Inputs!$E$14*(1+Inputs!$E$15)^(34-Inputs!$E$13)*Inputs!$E$16))))*Inputs!$E$29))+((Inputs!$E$19+Inputs!$E$20+Inputs!$E$21+Inputs!$E$22+Inputs!$E$23))+(IF(AND(Inputs!$E$24&gt;0,34=Inputs!$E$24),Inputs!$E$25,0))+(MAX((((((((Inputs!$E$3*(1+(Inputs!$E$4*$C3))^(34-1))*Inputs!$E$5)*Inputs!$E$6)+((Inputs!$E$7*(1+Inputs!$E$8)^(34-1))*Inputs!$E$9)+(Inputs!$E$11*(1+Inputs!$E$12)^(34-1))+(IF(34&lt;Inputs!$E$13,0,Inputs!$E$14*(1+Inputs!$E$15)^(34-Inputs!$E$13)*Inputs!$E$16))))-(((((((Inputs!$E$3*(1+(Inputs!$E$4*$C3))^(34-1))*Inputs!$E$5)*Inputs!$E$6)+((Inputs!$E$7*(1+Inputs!$E$8)^(34-1))*Inputs!$E$9)+(Inputs!$E$11*(1+Inputs!$E$12)^(34-1))+(IF(34&lt;Inputs!$E$13,0,Inputs!$E$14*(1+Inputs!$E$15)^(34-Inputs!$E$13)*Inputs!$E$16))))*Inputs!$E$26+((((Inputs!$E$3*(1+(Inputs!$E$4*$C3))^(34-1))*Inputs!$E$5)*Inputs!$E$6)+((Inputs!$E$7*(1+Inputs!$E$8)^(34-1))*Inputs!$E$9)+(IF(34&lt;Inputs!$E$13,0,Inputs!$E$14*(1+Inputs!$E$15)^(34-Inputs!$E$13)*Inputs!$E$16)))*Inputs!$E$27+(Inputs!$E$3*(1+(Inputs!$E$4*$C3))^(34-1))*Inputs!$E$30))-(((Inputs!$E$7*(1+Inputs!$E$8)^(34-1))*Inputs!$E$10))-(((((((Inputs!$E$3*(1+(Inputs!$E$4*$C3))^(34-1))*Inputs!$E$5)*Inputs!$E$6)+((Inputs!$E$7*(1+Inputs!$E$8)^(34-1))*Inputs!$E$9)+(Inputs!$E$11*(1+Inputs!$E$12)^(34-1))+(IF(34&lt;Inputs!$E$13,0,Inputs!$E$14*(1+Inputs!$E$15)^(34-Inputs!$E$13)*Inputs!$E$16))))*Inputs!$E$29))-((Inputs!$E$19+Inputs!$E$20+Inputs!$E$21+Inputs!$E$22+Inputs!$E$23))-(IF(AND(Inputs!$E$24&gt;0,34=Inputs!$E$24),Inputs!$E$25,0)))),0)*Inputs!$E$28))))+(IF(AND(Inputs!$E$17&gt;0,34=Inputs!$E$17),Inputs!$E$18,0))))</f>
        <v/>
      </c>
      <c r="AO3" s="8">
        <f>AN3+(((((((((Inputs!$E$3*(1+(Inputs!$E$4*$C3))^(35-1))*Inputs!$E$5)*Inputs!$E$6)+((Inputs!$E$7*(1+Inputs!$E$8)^(35-1))*Inputs!$E$9)+(Inputs!$E$11*(1+Inputs!$E$12)^(35-1))+(IF(35&lt;Inputs!$E$13,0,Inputs!$E$14*(1+Inputs!$E$15)^(35-Inputs!$E$13)*Inputs!$E$16))))-((((((((Inputs!$E$3*(1+(Inputs!$E$4*$C3))^(35-1))*Inputs!$E$5)*Inputs!$E$6)+((Inputs!$E$7*(1+Inputs!$E$8)^(35-1))*Inputs!$E$9)+(Inputs!$E$11*(1+Inputs!$E$12)^(35-1))+(IF(35&lt;Inputs!$E$13,0,Inputs!$E$14*(1+Inputs!$E$15)^(35-Inputs!$E$13)*Inputs!$E$16))))*Inputs!$E$26+((((Inputs!$E$3*(1+(Inputs!$E$4*$C3))^(35-1))*Inputs!$E$5)*Inputs!$E$6)+((Inputs!$E$7*(1+Inputs!$E$8)^(35-1))*Inputs!$E$9)+(IF(35&lt;Inputs!$E$13,0,Inputs!$E$14*(1+Inputs!$E$15)^(35-Inputs!$E$13)*Inputs!$E$16)))*Inputs!$E$27+(Inputs!$E$3*(1+(Inputs!$E$4*$C3))^(35-1))*Inputs!$E$30))+(((Inputs!$E$7*(1+Inputs!$E$8)^(35-1))*Inputs!$E$10))+(((((((Inputs!$E$3*(1+(Inputs!$E$4*$C3))^(35-1))*Inputs!$E$5)*Inputs!$E$6)+((Inputs!$E$7*(1+Inputs!$E$8)^(35-1))*Inputs!$E$9)+(Inputs!$E$11*(1+Inputs!$E$12)^(35-1))+(IF(35&lt;Inputs!$E$13,0,Inputs!$E$14*(1+Inputs!$E$15)^(35-Inputs!$E$13)*Inputs!$E$16))))*Inputs!$E$29))+((Inputs!$E$19+Inputs!$E$20+Inputs!$E$21+Inputs!$E$22+Inputs!$E$23))+(IF(AND(Inputs!$E$24&gt;0,35=Inputs!$E$24),Inputs!$E$25,0))+(MAX((((((((Inputs!$E$3*(1+(Inputs!$E$4*$C3))^(35-1))*Inputs!$E$5)*Inputs!$E$6)+((Inputs!$E$7*(1+Inputs!$E$8)^(35-1))*Inputs!$E$9)+(Inputs!$E$11*(1+Inputs!$E$12)^(35-1))+(IF(35&lt;Inputs!$E$13,0,Inputs!$E$14*(1+Inputs!$E$15)^(35-Inputs!$E$13)*Inputs!$E$16))))-(((((((Inputs!$E$3*(1+(Inputs!$E$4*$C3))^(35-1))*Inputs!$E$5)*Inputs!$E$6)+((Inputs!$E$7*(1+Inputs!$E$8)^(35-1))*Inputs!$E$9)+(Inputs!$E$11*(1+Inputs!$E$12)^(35-1))+(IF(35&lt;Inputs!$E$13,0,Inputs!$E$14*(1+Inputs!$E$15)^(35-Inputs!$E$13)*Inputs!$E$16))))*Inputs!$E$26+((((Inputs!$E$3*(1+(Inputs!$E$4*$C3))^(35-1))*Inputs!$E$5)*Inputs!$E$6)+((Inputs!$E$7*(1+Inputs!$E$8)^(35-1))*Inputs!$E$9)+(IF(35&lt;Inputs!$E$13,0,Inputs!$E$14*(1+Inputs!$E$15)^(35-Inputs!$E$13)*Inputs!$E$16)))*Inputs!$E$27+(Inputs!$E$3*(1+(Inputs!$E$4*$C3))^(35-1))*Inputs!$E$30))-(((Inputs!$E$7*(1+Inputs!$E$8)^(35-1))*Inputs!$E$10))-(((((((Inputs!$E$3*(1+(Inputs!$E$4*$C3))^(35-1))*Inputs!$E$5)*Inputs!$E$6)+((Inputs!$E$7*(1+Inputs!$E$8)^(35-1))*Inputs!$E$9)+(Inputs!$E$11*(1+Inputs!$E$12)^(35-1))+(IF(35&lt;Inputs!$E$13,0,Inputs!$E$14*(1+Inputs!$E$15)^(35-Inputs!$E$13)*Inputs!$E$16))))*Inputs!$E$29))-((Inputs!$E$19+Inputs!$E$20+Inputs!$E$21+Inputs!$E$22+Inputs!$E$23))-(IF(AND(Inputs!$E$24&gt;0,35=Inputs!$E$24),Inputs!$E$25,0)))),0)*Inputs!$E$28))))+(IF(AND(Inputs!$E$17&gt;0,35=Inputs!$E$17),Inputs!$E$18,0))))</f>
        <v/>
      </c>
      <c r="AP3" s="8">
        <f>AO3+(((((((((Inputs!$E$3*(1+(Inputs!$E$4*$C3))^(36-1))*Inputs!$E$5)*Inputs!$E$6)+((Inputs!$E$7*(1+Inputs!$E$8)^(36-1))*Inputs!$E$9)+(Inputs!$E$11*(1+Inputs!$E$12)^(36-1))+(IF(36&lt;Inputs!$E$13,0,Inputs!$E$14*(1+Inputs!$E$15)^(36-Inputs!$E$13)*Inputs!$E$16))))-((((((((Inputs!$E$3*(1+(Inputs!$E$4*$C3))^(36-1))*Inputs!$E$5)*Inputs!$E$6)+((Inputs!$E$7*(1+Inputs!$E$8)^(36-1))*Inputs!$E$9)+(Inputs!$E$11*(1+Inputs!$E$12)^(36-1))+(IF(36&lt;Inputs!$E$13,0,Inputs!$E$14*(1+Inputs!$E$15)^(36-Inputs!$E$13)*Inputs!$E$16))))*Inputs!$E$26+((((Inputs!$E$3*(1+(Inputs!$E$4*$C3))^(36-1))*Inputs!$E$5)*Inputs!$E$6)+((Inputs!$E$7*(1+Inputs!$E$8)^(36-1))*Inputs!$E$9)+(IF(36&lt;Inputs!$E$13,0,Inputs!$E$14*(1+Inputs!$E$15)^(36-Inputs!$E$13)*Inputs!$E$16)))*Inputs!$E$27+(Inputs!$E$3*(1+(Inputs!$E$4*$C3))^(36-1))*Inputs!$E$30))+(((Inputs!$E$7*(1+Inputs!$E$8)^(36-1))*Inputs!$E$10))+(((((((Inputs!$E$3*(1+(Inputs!$E$4*$C3))^(36-1))*Inputs!$E$5)*Inputs!$E$6)+((Inputs!$E$7*(1+Inputs!$E$8)^(36-1))*Inputs!$E$9)+(Inputs!$E$11*(1+Inputs!$E$12)^(36-1))+(IF(36&lt;Inputs!$E$13,0,Inputs!$E$14*(1+Inputs!$E$15)^(36-Inputs!$E$13)*Inputs!$E$16))))*Inputs!$E$29))+((Inputs!$E$19+Inputs!$E$20+Inputs!$E$21+Inputs!$E$22+Inputs!$E$23))+(IF(AND(Inputs!$E$24&gt;0,36=Inputs!$E$24),Inputs!$E$25,0))+(MAX((((((((Inputs!$E$3*(1+(Inputs!$E$4*$C3))^(36-1))*Inputs!$E$5)*Inputs!$E$6)+((Inputs!$E$7*(1+Inputs!$E$8)^(36-1))*Inputs!$E$9)+(Inputs!$E$11*(1+Inputs!$E$12)^(36-1))+(IF(36&lt;Inputs!$E$13,0,Inputs!$E$14*(1+Inputs!$E$15)^(36-Inputs!$E$13)*Inputs!$E$16))))-(((((((Inputs!$E$3*(1+(Inputs!$E$4*$C3))^(36-1))*Inputs!$E$5)*Inputs!$E$6)+((Inputs!$E$7*(1+Inputs!$E$8)^(36-1))*Inputs!$E$9)+(Inputs!$E$11*(1+Inputs!$E$12)^(36-1))+(IF(36&lt;Inputs!$E$13,0,Inputs!$E$14*(1+Inputs!$E$15)^(36-Inputs!$E$13)*Inputs!$E$16))))*Inputs!$E$26+((((Inputs!$E$3*(1+(Inputs!$E$4*$C3))^(36-1))*Inputs!$E$5)*Inputs!$E$6)+((Inputs!$E$7*(1+Inputs!$E$8)^(36-1))*Inputs!$E$9)+(IF(36&lt;Inputs!$E$13,0,Inputs!$E$14*(1+Inputs!$E$15)^(36-Inputs!$E$13)*Inputs!$E$16)))*Inputs!$E$27+(Inputs!$E$3*(1+(Inputs!$E$4*$C3))^(36-1))*Inputs!$E$30))-(((Inputs!$E$7*(1+Inputs!$E$8)^(36-1))*Inputs!$E$10))-(((((((Inputs!$E$3*(1+(Inputs!$E$4*$C3))^(36-1))*Inputs!$E$5)*Inputs!$E$6)+((Inputs!$E$7*(1+Inputs!$E$8)^(36-1))*Inputs!$E$9)+(Inputs!$E$11*(1+Inputs!$E$12)^(36-1))+(IF(36&lt;Inputs!$E$13,0,Inputs!$E$14*(1+Inputs!$E$15)^(36-Inputs!$E$13)*Inputs!$E$16))))*Inputs!$E$29))-((Inputs!$E$19+Inputs!$E$20+Inputs!$E$21+Inputs!$E$22+Inputs!$E$23))-(IF(AND(Inputs!$E$24&gt;0,36=Inputs!$E$24),Inputs!$E$25,0)))),0)*Inputs!$E$28))))+(IF(AND(Inputs!$E$17&gt;0,36=Inputs!$E$17),Inputs!$E$18,0))))</f>
        <v/>
      </c>
    </row>
    <row r="4">
      <c r="A4" s="2" t="inlineStr">
        <is>
          <t>paid_conversion</t>
        </is>
      </c>
      <c r="B4" s="2" t="inlineStr">
        <is>
          <t>Paid conversion -20%</t>
        </is>
      </c>
      <c r="C4" s="2" t="n">
        <v>0.8</v>
      </c>
      <c r="D4" s="8">
        <f>AP4</f>
        <v/>
      </c>
      <c r="E4" s="8">
        <f>IFERROR(INDEX($G$1:$AP$1,MATCH(TRUE,$G4:$AP4&lt;0,0)),"No cash-out")</f>
        <v/>
      </c>
      <c r="F4" s="2" t="inlineStr">
        <is>
          <t>See ending cash / cash-out; monthly op net in Monthly Model</t>
        </is>
      </c>
      <c r="G4" s="8">
        <f>Inputs!$E$2+(((((((((Inputs!$E$3*(1+Inputs!$E$4)^(1-1))*(Inputs!$E$5*$C4))*Inputs!$E$6)+((Inputs!$E$7*(1+Inputs!$E$8)^(1-1))*Inputs!$E$9)+(Inputs!$E$11*(1+Inputs!$E$12)^(1-1))+(IF(1&lt;Inputs!$E$13,0,Inputs!$E$14*(1+Inputs!$E$15)^(1-Inputs!$E$13)*Inputs!$E$16))))-((((((((Inputs!$E$3*(1+Inputs!$E$4)^(1-1))*(Inputs!$E$5*$C4))*Inputs!$E$6)+((Inputs!$E$7*(1+Inputs!$E$8)^(1-1))*Inputs!$E$9)+(Inputs!$E$11*(1+Inputs!$E$12)^(1-1))+(IF(1&lt;Inputs!$E$13,0,Inputs!$E$14*(1+Inputs!$E$15)^(1-Inputs!$E$13)*Inputs!$E$16))))*Inputs!$E$26+((((Inputs!$E$3*(1+Inputs!$E$4)^(1-1))*(Inputs!$E$5*$C4))*Inputs!$E$6)+((Inputs!$E$7*(1+Inputs!$E$8)^(1-1))*Inputs!$E$9)+(IF(1&lt;Inputs!$E$13,0,Inputs!$E$14*(1+Inputs!$E$15)^(1-Inputs!$E$13)*Inputs!$E$16)))*Inputs!$E$27+(Inputs!$E$3*(1+Inputs!$E$4)^(1-1))*Inputs!$E$30))+(((Inputs!$E$7*(1+Inputs!$E$8)^(1-1))*Inputs!$E$10))+(((((((Inputs!$E$3*(1+Inputs!$E$4)^(1-1))*(Inputs!$E$5*$C4))*Inputs!$E$6)+((Inputs!$E$7*(1+Inputs!$E$8)^(1-1))*Inputs!$E$9)+(Inputs!$E$11*(1+Inputs!$E$12)^(1-1))+(IF(1&lt;Inputs!$E$13,0,Inputs!$E$14*(1+Inputs!$E$15)^(1-Inputs!$E$13)*Inputs!$E$16))))*Inputs!$E$29))+((Inputs!$E$19+Inputs!$E$20+Inputs!$E$21+Inputs!$E$22+Inputs!$E$23))+(IF(AND(Inputs!$E$24&gt;0,1=Inputs!$E$24),Inputs!$E$25,0))+(MAX((((((((Inputs!$E$3*(1+Inputs!$E$4)^(1-1))*(Inputs!$E$5*$C4))*Inputs!$E$6)+((Inputs!$E$7*(1+Inputs!$E$8)^(1-1))*Inputs!$E$9)+(Inputs!$E$11*(1+Inputs!$E$12)^(1-1))+(IF(1&lt;Inputs!$E$13,0,Inputs!$E$14*(1+Inputs!$E$15)^(1-Inputs!$E$13)*Inputs!$E$16))))-(((((((Inputs!$E$3*(1+Inputs!$E$4)^(1-1))*(Inputs!$E$5*$C4))*Inputs!$E$6)+((Inputs!$E$7*(1+Inputs!$E$8)^(1-1))*Inputs!$E$9)+(Inputs!$E$11*(1+Inputs!$E$12)^(1-1))+(IF(1&lt;Inputs!$E$13,0,Inputs!$E$14*(1+Inputs!$E$15)^(1-Inputs!$E$13)*Inputs!$E$16))))*Inputs!$E$26+((((Inputs!$E$3*(1+Inputs!$E$4)^(1-1))*(Inputs!$E$5*$C4))*Inputs!$E$6)+((Inputs!$E$7*(1+Inputs!$E$8)^(1-1))*Inputs!$E$9)+(IF(1&lt;Inputs!$E$13,0,Inputs!$E$14*(1+Inputs!$E$15)^(1-Inputs!$E$13)*Inputs!$E$16)))*Inputs!$E$27+(Inputs!$E$3*(1+Inputs!$E$4)^(1-1))*Inputs!$E$30))-(((Inputs!$E$7*(1+Inputs!$E$8)^(1-1))*Inputs!$E$10))-(((((((Inputs!$E$3*(1+Inputs!$E$4)^(1-1))*(Inputs!$E$5*$C4))*Inputs!$E$6)+((Inputs!$E$7*(1+Inputs!$E$8)^(1-1))*Inputs!$E$9)+(Inputs!$E$11*(1+Inputs!$E$12)^(1-1))+(IF(1&lt;Inputs!$E$13,0,Inputs!$E$14*(1+Inputs!$E$15)^(1-Inputs!$E$13)*Inputs!$E$16))))*Inputs!$E$29))-((Inputs!$E$19+Inputs!$E$20+Inputs!$E$21+Inputs!$E$22+Inputs!$E$23))-(IF(AND(Inputs!$E$24&gt;0,1=Inputs!$E$24),Inputs!$E$25,0)))),0)*Inputs!$E$28))))+(IF(AND(Inputs!$E$17&gt;0,1=Inputs!$E$17),Inputs!$E$18,0))))</f>
        <v/>
      </c>
      <c r="H4" s="8">
        <f>G4+(((((((((Inputs!$E$3*(1+Inputs!$E$4)^(2-1))*(Inputs!$E$5*$C4))*Inputs!$E$6)+((Inputs!$E$7*(1+Inputs!$E$8)^(2-1))*Inputs!$E$9)+(Inputs!$E$11*(1+Inputs!$E$12)^(2-1))+(IF(2&lt;Inputs!$E$13,0,Inputs!$E$14*(1+Inputs!$E$15)^(2-Inputs!$E$13)*Inputs!$E$16))))-((((((((Inputs!$E$3*(1+Inputs!$E$4)^(2-1))*(Inputs!$E$5*$C4))*Inputs!$E$6)+((Inputs!$E$7*(1+Inputs!$E$8)^(2-1))*Inputs!$E$9)+(Inputs!$E$11*(1+Inputs!$E$12)^(2-1))+(IF(2&lt;Inputs!$E$13,0,Inputs!$E$14*(1+Inputs!$E$15)^(2-Inputs!$E$13)*Inputs!$E$16))))*Inputs!$E$26+((((Inputs!$E$3*(1+Inputs!$E$4)^(2-1))*(Inputs!$E$5*$C4))*Inputs!$E$6)+((Inputs!$E$7*(1+Inputs!$E$8)^(2-1))*Inputs!$E$9)+(IF(2&lt;Inputs!$E$13,0,Inputs!$E$14*(1+Inputs!$E$15)^(2-Inputs!$E$13)*Inputs!$E$16)))*Inputs!$E$27+(Inputs!$E$3*(1+Inputs!$E$4)^(2-1))*Inputs!$E$30))+(((Inputs!$E$7*(1+Inputs!$E$8)^(2-1))*Inputs!$E$10))+(((((((Inputs!$E$3*(1+Inputs!$E$4)^(2-1))*(Inputs!$E$5*$C4))*Inputs!$E$6)+((Inputs!$E$7*(1+Inputs!$E$8)^(2-1))*Inputs!$E$9)+(Inputs!$E$11*(1+Inputs!$E$12)^(2-1))+(IF(2&lt;Inputs!$E$13,0,Inputs!$E$14*(1+Inputs!$E$15)^(2-Inputs!$E$13)*Inputs!$E$16))))*Inputs!$E$29))+((Inputs!$E$19+Inputs!$E$20+Inputs!$E$21+Inputs!$E$22+Inputs!$E$23))+(IF(AND(Inputs!$E$24&gt;0,2=Inputs!$E$24),Inputs!$E$25,0))+(MAX((((((((Inputs!$E$3*(1+Inputs!$E$4)^(2-1))*(Inputs!$E$5*$C4))*Inputs!$E$6)+((Inputs!$E$7*(1+Inputs!$E$8)^(2-1))*Inputs!$E$9)+(Inputs!$E$11*(1+Inputs!$E$12)^(2-1))+(IF(2&lt;Inputs!$E$13,0,Inputs!$E$14*(1+Inputs!$E$15)^(2-Inputs!$E$13)*Inputs!$E$16))))-(((((((Inputs!$E$3*(1+Inputs!$E$4)^(2-1))*(Inputs!$E$5*$C4))*Inputs!$E$6)+((Inputs!$E$7*(1+Inputs!$E$8)^(2-1))*Inputs!$E$9)+(Inputs!$E$11*(1+Inputs!$E$12)^(2-1))+(IF(2&lt;Inputs!$E$13,0,Inputs!$E$14*(1+Inputs!$E$15)^(2-Inputs!$E$13)*Inputs!$E$16))))*Inputs!$E$26+((((Inputs!$E$3*(1+Inputs!$E$4)^(2-1))*(Inputs!$E$5*$C4))*Inputs!$E$6)+((Inputs!$E$7*(1+Inputs!$E$8)^(2-1))*Inputs!$E$9)+(IF(2&lt;Inputs!$E$13,0,Inputs!$E$14*(1+Inputs!$E$15)^(2-Inputs!$E$13)*Inputs!$E$16)))*Inputs!$E$27+(Inputs!$E$3*(1+Inputs!$E$4)^(2-1))*Inputs!$E$30))-(((Inputs!$E$7*(1+Inputs!$E$8)^(2-1))*Inputs!$E$10))-(((((((Inputs!$E$3*(1+Inputs!$E$4)^(2-1))*(Inputs!$E$5*$C4))*Inputs!$E$6)+((Inputs!$E$7*(1+Inputs!$E$8)^(2-1))*Inputs!$E$9)+(Inputs!$E$11*(1+Inputs!$E$12)^(2-1))+(IF(2&lt;Inputs!$E$13,0,Inputs!$E$14*(1+Inputs!$E$15)^(2-Inputs!$E$13)*Inputs!$E$16))))*Inputs!$E$29))-((Inputs!$E$19+Inputs!$E$20+Inputs!$E$21+Inputs!$E$22+Inputs!$E$23))-(IF(AND(Inputs!$E$24&gt;0,2=Inputs!$E$24),Inputs!$E$25,0)))),0)*Inputs!$E$28))))+(IF(AND(Inputs!$E$17&gt;0,2=Inputs!$E$17),Inputs!$E$18,0))))</f>
        <v/>
      </c>
      <c r="I4" s="8">
        <f>H4+(((((((((Inputs!$E$3*(1+Inputs!$E$4)^(3-1))*(Inputs!$E$5*$C4))*Inputs!$E$6)+((Inputs!$E$7*(1+Inputs!$E$8)^(3-1))*Inputs!$E$9)+(Inputs!$E$11*(1+Inputs!$E$12)^(3-1))+(IF(3&lt;Inputs!$E$13,0,Inputs!$E$14*(1+Inputs!$E$15)^(3-Inputs!$E$13)*Inputs!$E$16))))-((((((((Inputs!$E$3*(1+Inputs!$E$4)^(3-1))*(Inputs!$E$5*$C4))*Inputs!$E$6)+((Inputs!$E$7*(1+Inputs!$E$8)^(3-1))*Inputs!$E$9)+(Inputs!$E$11*(1+Inputs!$E$12)^(3-1))+(IF(3&lt;Inputs!$E$13,0,Inputs!$E$14*(1+Inputs!$E$15)^(3-Inputs!$E$13)*Inputs!$E$16))))*Inputs!$E$26+((((Inputs!$E$3*(1+Inputs!$E$4)^(3-1))*(Inputs!$E$5*$C4))*Inputs!$E$6)+((Inputs!$E$7*(1+Inputs!$E$8)^(3-1))*Inputs!$E$9)+(IF(3&lt;Inputs!$E$13,0,Inputs!$E$14*(1+Inputs!$E$15)^(3-Inputs!$E$13)*Inputs!$E$16)))*Inputs!$E$27+(Inputs!$E$3*(1+Inputs!$E$4)^(3-1))*Inputs!$E$30))+(((Inputs!$E$7*(1+Inputs!$E$8)^(3-1))*Inputs!$E$10))+(((((((Inputs!$E$3*(1+Inputs!$E$4)^(3-1))*(Inputs!$E$5*$C4))*Inputs!$E$6)+((Inputs!$E$7*(1+Inputs!$E$8)^(3-1))*Inputs!$E$9)+(Inputs!$E$11*(1+Inputs!$E$12)^(3-1))+(IF(3&lt;Inputs!$E$13,0,Inputs!$E$14*(1+Inputs!$E$15)^(3-Inputs!$E$13)*Inputs!$E$16))))*Inputs!$E$29))+((Inputs!$E$19+Inputs!$E$20+Inputs!$E$21+Inputs!$E$22+Inputs!$E$23))+(IF(AND(Inputs!$E$24&gt;0,3=Inputs!$E$24),Inputs!$E$25,0))+(MAX((((((((Inputs!$E$3*(1+Inputs!$E$4)^(3-1))*(Inputs!$E$5*$C4))*Inputs!$E$6)+((Inputs!$E$7*(1+Inputs!$E$8)^(3-1))*Inputs!$E$9)+(Inputs!$E$11*(1+Inputs!$E$12)^(3-1))+(IF(3&lt;Inputs!$E$13,0,Inputs!$E$14*(1+Inputs!$E$15)^(3-Inputs!$E$13)*Inputs!$E$16))))-(((((((Inputs!$E$3*(1+Inputs!$E$4)^(3-1))*(Inputs!$E$5*$C4))*Inputs!$E$6)+((Inputs!$E$7*(1+Inputs!$E$8)^(3-1))*Inputs!$E$9)+(Inputs!$E$11*(1+Inputs!$E$12)^(3-1))+(IF(3&lt;Inputs!$E$13,0,Inputs!$E$14*(1+Inputs!$E$15)^(3-Inputs!$E$13)*Inputs!$E$16))))*Inputs!$E$26+((((Inputs!$E$3*(1+Inputs!$E$4)^(3-1))*(Inputs!$E$5*$C4))*Inputs!$E$6)+((Inputs!$E$7*(1+Inputs!$E$8)^(3-1))*Inputs!$E$9)+(IF(3&lt;Inputs!$E$13,0,Inputs!$E$14*(1+Inputs!$E$15)^(3-Inputs!$E$13)*Inputs!$E$16)))*Inputs!$E$27+(Inputs!$E$3*(1+Inputs!$E$4)^(3-1))*Inputs!$E$30))-(((Inputs!$E$7*(1+Inputs!$E$8)^(3-1))*Inputs!$E$10))-(((((((Inputs!$E$3*(1+Inputs!$E$4)^(3-1))*(Inputs!$E$5*$C4))*Inputs!$E$6)+((Inputs!$E$7*(1+Inputs!$E$8)^(3-1))*Inputs!$E$9)+(Inputs!$E$11*(1+Inputs!$E$12)^(3-1))+(IF(3&lt;Inputs!$E$13,0,Inputs!$E$14*(1+Inputs!$E$15)^(3-Inputs!$E$13)*Inputs!$E$16))))*Inputs!$E$29))-((Inputs!$E$19+Inputs!$E$20+Inputs!$E$21+Inputs!$E$22+Inputs!$E$23))-(IF(AND(Inputs!$E$24&gt;0,3=Inputs!$E$24),Inputs!$E$25,0)))),0)*Inputs!$E$28))))+(IF(AND(Inputs!$E$17&gt;0,3=Inputs!$E$17),Inputs!$E$18,0))))</f>
        <v/>
      </c>
      <c r="J4" s="8">
        <f>I4+(((((((((Inputs!$E$3*(1+Inputs!$E$4)^(4-1))*(Inputs!$E$5*$C4))*Inputs!$E$6)+((Inputs!$E$7*(1+Inputs!$E$8)^(4-1))*Inputs!$E$9)+(Inputs!$E$11*(1+Inputs!$E$12)^(4-1))+(IF(4&lt;Inputs!$E$13,0,Inputs!$E$14*(1+Inputs!$E$15)^(4-Inputs!$E$13)*Inputs!$E$16))))-((((((((Inputs!$E$3*(1+Inputs!$E$4)^(4-1))*(Inputs!$E$5*$C4))*Inputs!$E$6)+((Inputs!$E$7*(1+Inputs!$E$8)^(4-1))*Inputs!$E$9)+(Inputs!$E$11*(1+Inputs!$E$12)^(4-1))+(IF(4&lt;Inputs!$E$13,0,Inputs!$E$14*(1+Inputs!$E$15)^(4-Inputs!$E$13)*Inputs!$E$16))))*Inputs!$E$26+((((Inputs!$E$3*(1+Inputs!$E$4)^(4-1))*(Inputs!$E$5*$C4))*Inputs!$E$6)+((Inputs!$E$7*(1+Inputs!$E$8)^(4-1))*Inputs!$E$9)+(IF(4&lt;Inputs!$E$13,0,Inputs!$E$14*(1+Inputs!$E$15)^(4-Inputs!$E$13)*Inputs!$E$16)))*Inputs!$E$27+(Inputs!$E$3*(1+Inputs!$E$4)^(4-1))*Inputs!$E$30))+(((Inputs!$E$7*(1+Inputs!$E$8)^(4-1))*Inputs!$E$10))+(((((((Inputs!$E$3*(1+Inputs!$E$4)^(4-1))*(Inputs!$E$5*$C4))*Inputs!$E$6)+((Inputs!$E$7*(1+Inputs!$E$8)^(4-1))*Inputs!$E$9)+(Inputs!$E$11*(1+Inputs!$E$12)^(4-1))+(IF(4&lt;Inputs!$E$13,0,Inputs!$E$14*(1+Inputs!$E$15)^(4-Inputs!$E$13)*Inputs!$E$16))))*Inputs!$E$29))+((Inputs!$E$19+Inputs!$E$20+Inputs!$E$21+Inputs!$E$22+Inputs!$E$23))+(IF(AND(Inputs!$E$24&gt;0,4=Inputs!$E$24),Inputs!$E$25,0))+(MAX((((((((Inputs!$E$3*(1+Inputs!$E$4)^(4-1))*(Inputs!$E$5*$C4))*Inputs!$E$6)+((Inputs!$E$7*(1+Inputs!$E$8)^(4-1))*Inputs!$E$9)+(Inputs!$E$11*(1+Inputs!$E$12)^(4-1))+(IF(4&lt;Inputs!$E$13,0,Inputs!$E$14*(1+Inputs!$E$15)^(4-Inputs!$E$13)*Inputs!$E$16))))-(((((((Inputs!$E$3*(1+Inputs!$E$4)^(4-1))*(Inputs!$E$5*$C4))*Inputs!$E$6)+((Inputs!$E$7*(1+Inputs!$E$8)^(4-1))*Inputs!$E$9)+(Inputs!$E$11*(1+Inputs!$E$12)^(4-1))+(IF(4&lt;Inputs!$E$13,0,Inputs!$E$14*(1+Inputs!$E$15)^(4-Inputs!$E$13)*Inputs!$E$16))))*Inputs!$E$26+((((Inputs!$E$3*(1+Inputs!$E$4)^(4-1))*(Inputs!$E$5*$C4))*Inputs!$E$6)+((Inputs!$E$7*(1+Inputs!$E$8)^(4-1))*Inputs!$E$9)+(IF(4&lt;Inputs!$E$13,0,Inputs!$E$14*(1+Inputs!$E$15)^(4-Inputs!$E$13)*Inputs!$E$16)))*Inputs!$E$27+(Inputs!$E$3*(1+Inputs!$E$4)^(4-1))*Inputs!$E$30))-(((Inputs!$E$7*(1+Inputs!$E$8)^(4-1))*Inputs!$E$10))-(((((((Inputs!$E$3*(1+Inputs!$E$4)^(4-1))*(Inputs!$E$5*$C4))*Inputs!$E$6)+((Inputs!$E$7*(1+Inputs!$E$8)^(4-1))*Inputs!$E$9)+(Inputs!$E$11*(1+Inputs!$E$12)^(4-1))+(IF(4&lt;Inputs!$E$13,0,Inputs!$E$14*(1+Inputs!$E$15)^(4-Inputs!$E$13)*Inputs!$E$16))))*Inputs!$E$29))-((Inputs!$E$19+Inputs!$E$20+Inputs!$E$21+Inputs!$E$22+Inputs!$E$23))-(IF(AND(Inputs!$E$24&gt;0,4=Inputs!$E$24),Inputs!$E$25,0)))),0)*Inputs!$E$28))))+(IF(AND(Inputs!$E$17&gt;0,4=Inputs!$E$17),Inputs!$E$18,0))))</f>
        <v/>
      </c>
      <c r="K4" s="8">
        <f>J4+(((((((((Inputs!$E$3*(1+Inputs!$E$4)^(5-1))*(Inputs!$E$5*$C4))*Inputs!$E$6)+((Inputs!$E$7*(1+Inputs!$E$8)^(5-1))*Inputs!$E$9)+(Inputs!$E$11*(1+Inputs!$E$12)^(5-1))+(IF(5&lt;Inputs!$E$13,0,Inputs!$E$14*(1+Inputs!$E$15)^(5-Inputs!$E$13)*Inputs!$E$16))))-((((((((Inputs!$E$3*(1+Inputs!$E$4)^(5-1))*(Inputs!$E$5*$C4))*Inputs!$E$6)+((Inputs!$E$7*(1+Inputs!$E$8)^(5-1))*Inputs!$E$9)+(Inputs!$E$11*(1+Inputs!$E$12)^(5-1))+(IF(5&lt;Inputs!$E$13,0,Inputs!$E$14*(1+Inputs!$E$15)^(5-Inputs!$E$13)*Inputs!$E$16))))*Inputs!$E$26+((((Inputs!$E$3*(1+Inputs!$E$4)^(5-1))*(Inputs!$E$5*$C4))*Inputs!$E$6)+((Inputs!$E$7*(1+Inputs!$E$8)^(5-1))*Inputs!$E$9)+(IF(5&lt;Inputs!$E$13,0,Inputs!$E$14*(1+Inputs!$E$15)^(5-Inputs!$E$13)*Inputs!$E$16)))*Inputs!$E$27+(Inputs!$E$3*(1+Inputs!$E$4)^(5-1))*Inputs!$E$30))+(((Inputs!$E$7*(1+Inputs!$E$8)^(5-1))*Inputs!$E$10))+(((((((Inputs!$E$3*(1+Inputs!$E$4)^(5-1))*(Inputs!$E$5*$C4))*Inputs!$E$6)+((Inputs!$E$7*(1+Inputs!$E$8)^(5-1))*Inputs!$E$9)+(Inputs!$E$11*(1+Inputs!$E$12)^(5-1))+(IF(5&lt;Inputs!$E$13,0,Inputs!$E$14*(1+Inputs!$E$15)^(5-Inputs!$E$13)*Inputs!$E$16))))*Inputs!$E$29))+((Inputs!$E$19+Inputs!$E$20+Inputs!$E$21+Inputs!$E$22+Inputs!$E$23))+(IF(AND(Inputs!$E$24&gt;0,5=Inputs!$E$24),Inputs!$E$25,0))+(MAX((((((((Inputs!$E$3*(1+Inputs!$E$4)^(5-1))*(Inputs!$E$5*$C4))*Inputs!$E$6)+((Inputs!$E$7*(1+Inputs!$E$8)^(5-1))*Inputs!$E$9)+(Inputs!$E$11*(1+Inputs!$E$12)^(5-1))+(IF(5&lt;Inputs!$E$13,0,Inputs!$E$14*(1+Inputs!$E$15)^(5-Inputs!$E$13)*Inputs!$E$16))))-(((((((Inputs!$E$3*(1+Inputs!$E$4)^(5-1))*(Inputs!$E$5*$C4))*Inputs!$E$6)+((Inputs!$E$7*(1+Inputs!$E$8)^(5-1))*Inputs!$E$9)+(Inputs!$E$11*(1+Inputs!$E$12)^(5-1))+(IF(5&lt;Inputs!$E$13,0,Inputs!$E$14*(1+Inputs!$E$15)^(5-Inputs!$E$13)*Inputs!$E$16))))*Inputs!$E$26+((((Inputs!$E$3*(1+Inputs!$E$4)^(5-1))*(Inputs!$E$5*$C4))*Inputs!$E$6)+((Inputs!$E$7*(1+Inputs!$E$8)^(5-1))*Inputs!$E$9)+(IF(5&lt;Inputs!$E$13,0,Inputs!$E$14*(1+Inputs!$E$15)^(5-Inputs!$E$13)*Inputs!$E$16)))*Inputs!$E$27+(Inputs!$E$3*(1+Inputs!$E$4)^(5-1))*Inputs!$E$30))-(((Inputs!$E$7*(1+Inputs!$E$8)^(5-1))*Inputs!$E$10))-(((((((Inputs!$E$3*(1+Inputs!$E$4)^(5-1))*(Inputs!$E$5*$C4))*Inputs!$E$6)+((Inputs!$E$7*(1+Inputs!$E$8)^(5-1))*Inputs!$E$9)+(Inputs!$E$11*(1+Inputs!$E$12)^(5-1))+(IF(5&lt;Inputs!$E$13,0,Inputs!$E$14*(1+Inputs!$E$15)^(5-Inputs!$E$13)*Inputs!$E$16))))*Inputs!$E$29))-((Inputs!$E$19+Inputs!$E$20+Inputs!$E$21+Inputs!$E$22+Inputs!$E$23))-(IF(AND(Inputs!$E$24&gt;0,5=Inputs!$E$24),Inputs!$E$25,0)))),0)*Inputs!$E$28))))+(IF(AND(Inputs!$E$17&gt;0,5=Inputs!$E$17),Inputs!$E$18,0))))</f>
        <v/>
      </c>
      <c r="L4" s="8">
        <f>K4+(((((((((Inputs!$E$3*(1+Inputs!$E$4)^(6-1))*(Inputs!$E$5*$C4))*Inputs!$E$6)+((Inputs!$E$7*(1+Inputs!$E$8)^(6-1))*Inputs!$E$9)+(Inputs!$E$11*(1+Inputs!$E$12)^(6-1))+(IF(6&lt;Inputs!$E$13,0,Inputs!$E$14*(1+Inputs!$E$15)^(6-Inputs!$E$13)*Inputs!$E$16))))-((((((((Inputs!$E$3*(1+Inputs!$E$4)^(6-1))*(Inputs!$E$5*$C4))*Inputs!$E$6)+((Inputs!$E$7*(1+Inputs!$E$8)^(6-1))*Inputs!$E$9)+(Inputs!$E$11*(1+Inputs!$E$12)^(6-1))+(IF(6&lt;Inputs!$E$13,0,Inputs!$E$14*(1+Inputs!$E$15)^(6-Inputs!$E$13)*Inputs!$E$16))))*Inputs!$E$26+((((Inputs!$E$3*(1+Inputs!$E$4)^(6-1))*(Inputs!$E$5*$C4))*Inputs!$E$6)+((Inputs!$E$7*(1+Inputs!$E$8)^(6-1))*Inputs!$E$9)+(IF(6&lt;Inputs!$E$13,0,Inputs!$E$14*(1+Inputs!$E$15)^(6-Inputs!$E$13)*Inputs!$E$16)))*Inputs!$E$27+(Inputs!$E$3*(1+Inputs!$E$4)^(6-1))*Inputs!$E$30))+(((Inputs!$E$7*(1+Inputs!$E$8)^(6-1))*Inputs!$E$10))+(((((((Inputs!$E$3*(1+Inputs!$E$4)^(6-1))*(Inputs!$E$5*$C4))*Inputs!$E$6)+((Inputs!$E$7*(1+Inputs!$E$8)^(6-1))*Inputs!$E$9)+(Inputs!$E$11*(1+Inputs!$E$12)^(6-1))+(IF(6&lt;Inputs!$E$13,0,Inputs!$E$14*(1+Inputs!$E$15)^(6-Inputs!$E$13)*Inputs!$E$16))))*Inputs!$E$29))+((Inputs!$E$19+Inputs!$E$20+Inputs!$E$21+Inputs!$E$22+Inputs!$E$23))+(IF(AND(Inputs!$E$24&gt;0,6=Inputs!$E$24),Inputs!$E$25,0))+(MAX((((((((Inputs!$E$3*(1+Inputs!$E$4)^(6-1))*(Inputs!$E$5*$C4))*Inputs!$E$6)+((Inputs!$E$7*(1+Inputs!$E$8)^(6-1))*Inputs!$E$9)+(Inputs!$E$11*(1+Inputs!$E$12)^(6-1))+(IF(6&lt;Inputs!$E$13,0,Inputs!$E$14*(1+Inputs!$E$15)^(6-Inputs!$E$13)*Inputs!$E$16))))-(((((((Inputs!$E$3*(1+Inputs!$E$4)^(6-1))*(Inputs!$E$5*$C4))*Inputs!$E$6)+((Inputs!$E$7*(1+Inputs!$E$8)^(6-1))*Inputs!$E$9)+(Inputs!$E$11*(1+Inputs!$E$12)^(6-1))+(IF(6&lt;Inputs!$E$13,0,Inputs!$E$14*(1+Inputs!$E$15)^(6-Inputs!$E$13)*Inputs!$E$16))))*Inputs!$E$26+((((Inputs!$E$3*(1+Inputs!$E$4)^(6-1))*(Inputs!$E$5*$C4))*Inputs!$E$6)+((Inputs!$E$7*(1+Inputs!$E$8)^(6-1))*Inputs!$E$9)+(IF(6&lt;Inputs!$E$13,0,Inputs!$E$14*(1+Inputs!$E$15)^(6-Inputs!$E$13)*Inputs!$E$16)))*Inputs!$E$27+(Inputs!$E$3*(1+Inputs!$E$4)^(6-1))*Inputs!$E$30))-(((Inputs!$E$7*(1+Inputs!$E$8)^(6-1))*Inputs!$E$10))-(((((((Inputs!$E$3*(1+Inputs!$E$4)^(6-1))*(Inputs!$E$5*$C4))*Inputs!$E$6)+((Inputs!$E$7*(1+Inputs!$E$8)^(6-1))*Inputs!$E$9)+(Inputs!$E$11*(1+Inputs!$E$12)^(6-1))+(IF(6&lt;Inputs!$E$13,0,Inputs!$E$14*(1+Inputs!$E$15)^(6-Inputs!$E$13)*Inputs!$E$16))))*Inputs!$E$29))-((Inputs!$E$19+Inputs!$E$20+Inputs!$E$21+Inputs!$E$22+Inputs!$E$23))-(IF(AND(Inputs!$E$24&gt;0,6=Inputs!$E$24),Inputs!$E$25,0)))),0)*Inputs!$E$28))))+(IF(AND(Inputs!$E$17&gt;0,6=Inputs!$E$17),Inputs!$E$18,0))))</f>
        <v/>
      </c>
      <c r="M4" s="8">
        <f>L4+(((((((((Inputs!$E$3*(1+Inputs!$E$4)^(7-1))*(Inputs!$E$5*$C4))*Inputs!$E$6)+((Inputs!$E$7*(1+Inputs!$E$8)^(7-1))*Inputs!$E$9)+(Inputs!$E$11*(1+Inputs!$E$12)^(7-1))+(IF(7&lt;Inputs!$E$13,0,Inputs!$E$14*(1+Inputs!$E$15)^(7-Inputs!$E$13)*Inputs!$E$16))))-((((((((Inputs!$E$3*(1+Inputs!$E$4)^(7-1))*(Inputs!$E$5*$C4))*Inputs!$E$6)+((Inputs!$E$7*(1+Inputs!$E$8)^(7-1))*Inputs!$E$9)+(Inputs!$E$11*(1+Inputs!$E$12)^(7-1))+(IF(7&lt;Inputs!$E$13,0,Inputs!$E$14*(1+Inputs!$E$15)^(7-Inputs!$E$13)*Inputs!$E$16))))*Inputs!$E$26+((((Inputs!$E$3*(1+Inputs!$E$4)^(7-1))*(Inputs!$E$5*$C4))*Inputs!$E$6)+((Inputs!$E$7*(1+Inputs!$E$8)^(7-1))*Inputs!$E$9)+(IF(7&lt;Inputs!$E$13,0,Inputs!$E$14*(1+Inputs!$E$15)^(7-Inputs!$E$13)*Inputs!$E$16)))*Inputs!$E$27+(Inputs!$E$3*(1+Inputs!$E$4)^(7-1))*Inputs!$E$30))+(((Inputs!$E$7*(1+Inputs!$E$8)^(7-1))*Inputs!$E$10))+(((((((Inputs!$E$3*(1+Inputs!$E$4)^(7-1))*(Inputs!$E$5*$C4))*Inputs!$E$6)+((Inputs!$E$7*(1+Inputs!$E$8)^(7-1))*Inputs!$E$9)+(Inputs!$E$11*(1+Inputs!$E$12)^(7-1))+(IF(7&lt;Inputs!$E$13,0,Inputs!$E$14*(1+Inputs!$E$15)^(7-Inputs!$E$13)*Inputs!$E$16))))*Inputs!$E$29))+((Inputs!$E$19+Inputs!$E$20+Inputs!$E$21+Inputs!$E$22+Inputs!$E$23))+(IF(AND(Inputs!$E$24&gt;0,7=Inputs!$E$24),Inputs!$E$25,0))+(MAX((((((((Inputs!$E$3*(1+Inputs!$E$4)^(7-1))*(Inputs!$E$5*$C4))*Inputs!$E$6)+((Inputs!$E$7*(1+Inputs!$E$8)^(7-1))*Inputs!$E$9)+(Inputs!$E$11*(1+Inputs!$E$12)^(7-1))+(IF(7&lt;Inputs!$E$13,0,Inputs!$E$14*(1+Inputs!$E$15)^(7-Inputs!$E$13)*Inputs!$E$16))))-(((((((Inputs!$E$3*(1+Inputs!$E$4)^(7-1))*(Inputs!$E$5*$C4))*Inputs!$E$6)+((Inputs!$E$7*(1+Inputs!$E$8)^(7-1))*Inputs!$E$9)+(Inputs!$E$11*(1+Inputs!$E$12)^(7-1))+(IF(7&lt;Inputs!$E$13,0,Inputs!$E$14*(1+Inputs!$E$15)^(7-Inputs!$E$13)*Inputs!$E$16))))*Inputs!$E$26+((((Inputs!$E$3*(1+Inputs!$E$4)^(7-1))*(Inputs!$E$5*$C4))*Inputs!$E$6)+((Inputs!$E$7*(1+Inputs!$E$8)^(7-1))*Inputs!$E$9)+(IF(7&lt;Inputs!$E$13,0,Inputs!$E$14*(1+Inputs!$E$15)^(7-Inputs!$E$13)*Inputs!$E$16)))*Inputs!$E$27+(Inputs!$E$3*(1+Inputs!$E$4)^(7-1))*Inputs!$E$30))-(((Inputs!$E$7*(1+Inputs!$E$8)^(7-1))*Inputs!$E$10))-(((((((Inputs!$E$3*(1+Inputs!$E$4)^(7-1))*(Inputs!$E$5*$C4))*Inputs!$E$6)+((Inputs!$E$7*(1+Inputs!$E$8)^(7-1))*Inputs!$E$9)+(Inputs!$E$11*(1+Inputs!$E$12)^(7-1))+(IF(7&lt;Inputs!$E$13,0,Inputs!$E$14*(1+Inputs!$E$15)^(7-Inputs!$E$13)*Inputs!$E$16))))*Inputs!$E$29))-((Inputs!$E$19+Inputs!$E$20+Inputs!$E$21+Inputs!$E$22+Inputs!$E$23))-(IF(AND(Inputs!$E$24&gt;0,7=Inputs!$E$24),Inputs!$E$25,0)))),0)*Inputs!$E$28))))+(IF(AND(Inputs!$E$17&gt;0,7=Inputs!$E$17),Inputs!$E$18,0))))</f>
        <v/>
      </c>
      <c r="N4" s="8">
        <f>M4+(((((((((Inputs!$E$3*(1+Inputs!$E$4)^(8-1))*(Inputs!$E$5*$C4))*Inputs!$E$6)+((Inputs!$E$7*(1+Inputs!$E$8)^(8-1))*Inputs!$E$9)+(Inputs!$E$11*(1+Inputs!$E$12)^(8-1))+(IF(8&lt;Inputs!$E$13,0,Inputs!$E$14*(1+Inputs!$E$15)^(8-Inputs!$E$13)*Inputs!$E$16))))-((((((((Inputs!$E$3*(1+Inputs!$E$4)^(8-1))*(Inputs!$E$5*$C4))*Inputs!$E$6)+((Inputs!$E$7*(1+Inputs!$E$8)^(8-1))*Inputs!$E$9)+(Inputs!$E$11*(1+Inputs!$E$12)^(8-1))+(IF(8&lt;Inputs!$E$13,0,Inputs!$E$14*(1+Inputs!$E$15)^(8-Inputs!$E$13)*Inputs!$E$16))))*Inputs!$E$26+((((Inputs!$E$3*(1+Inputs!$E$4)^(8-1))*(Inputs!$E$5*$C4))*Inputs!$E$6)+((Inputs!$E$7*(1+Inputs!$E$8)^(8-1))*Inputs!$E$9)+(IF(8&lt;Inputs!$E$13,0,Inputs!$E$14*(1+Inputs!$E$15)^(8-Inputs!$E$13)*Inputs!$E$16)))*Inputs!$E$27+(Inputs!$E$3*(1+Inputs!$E$4)^(8-1))*Inputs!$E$30))+(((Inputs!$E$7*(1+Inputs!$E$8)^(8-1))*Inputs!$E$10))+(((((((Inputs!$E$3*(1+Inputs!$E$4)^(8-1))*(Inputs!$E$5*$C4))*Inputs!$E$6)+((Inputs!$E$7*(1+Inputs!$E$8)^(8-1))*Inputs!$E$9)+(Inputs!$E$11*(1+Inputs!$E$12)^(8-1))+(IF(8&lt;Inputs!$E$13,0,Inputs!$E$14*(1+Inputs!$E$15)^(8-Inputs!$E$13)*Inputs!$E$16))))*Inputs!$E$29))+((Inputs!$E$19+Inputs!$E$20+Inputs!$E$21+Inputs!$E$22+Inputs!$E$23))+(IF(AND(Inputs!$E$24&gt;0,8=Inputs!$E$24),Inputs!$E$25,0))+(MAX((((((((Inputs!$E$3*(1+Inputs!$E$4)^(8-1))*(Inputs!$E$5*$C4))*Inputs!$E$6)+((Inputs!$E$7*(1+Inputs!$E$8)^(8-1))*Inputs!$E$9)+(Inputs!$E$11*(1+Inputs!$E$12)^(8-1))+(IF(8&lt;Inputs!$E$13,0,Inputs!$E$14*(1+Inputs!$E$15)^(8-Inputs!$E$13)*Inputs!$E$16))))-(((((((Inputs!$E$3*(1+Inputs!$E$4)^(8-1))*(Inputs!$E$5*$C4))*Inputs!$E$6)+((Inputs!$E$7*(1+Inputs!$E$8)^(8-1))*Inputs!$E$9)+(Inputs!$E$11*(1+Inputs!$E$12)^(8-1))+(IF(8&lt;Inputs!$E$13,0,Inputs!$E$14*(1+Inputs!$E$15)^(8-Inputs!$E$13)*Inputs!$E$16))))*Inputs!$E$26+((((Inputs!$E$3*(1+Inputs!$E$4)^(8-1))*(Inputs!$E$5*$C4))*Inputs!$E$6)+((Inputs!$E$7*(1+Inputs!$E$8)^(8-1))*Inputs!$E$9)+(IF(8&lt;Inputs!$E$13,0,Inputs!$E$14*(1+Inputs!$E$15)^(8-Inputs!$E$13)*Inputs!$E$16)))*Inputs!$E$27+(Inputs!$E$3*(1+Inputs!$E$4)^(8-1))*Inputs!$E$30))-(((Inputs!$E$7*(1+Inputs!$E$8)^(8-1))*Inputs!$E$10))-(((((((Inputs!$E$3*(1+Inputs!$E$4)^(8-1))*(Inputs!$E$5*$C4))*Inputs!$E$6)+((Inputs!$E$7*(1+Inputs!$E$8)^(8-1))*Inputs!$E$9)+(Inputs!$E$11*(1+Inputs!$E$12)^(8-1))+(IF(8&lt;Inputs!$E$13,0,Inputs!$E$14*(1+Inputs!$E$15)^(8-Inputs!$E$13)*Inputs!$E$16))))*Inputs!$E$29))-((Inputs!$E$19+Inputs!$E$20+Inputs!$E$21+Inputs!$E$22+Inputs!$E$23))-(IF(AND(Inputs!$E$24&gt;0,8=Inputs!$E$24),Inputs!$E$25,0)))),0)*Inputs!$E$28))))+(IF(AND(Inputs!$E$17&gt;0,8=Inputs!$E$17),Inputs!$E$18,0))))</f>
        <v/>
      </c>
      <c r="O4" s="8">
        <f>N4+(((((((((Inputs!$E$3*(1+Inputs!$E$4)^(9-1))*(Inputs!$E$5*$C4))*Inputs!$E$6)+((Inputs!$E$7*(1+Inputs!$E$8)^(9-1))*Inputs!$E$9)+(Inputs!$E$11*(1+Inputs!$E$12)^(9-1))+(IF(9&lt;Inputs!$E$13,0,Inputs!$E$14*(1+Inputs!$E$15)^(9-Inputs!$E$13)*Inputs!$E$16))))-((((((((Inputs!$E$3*(1+Inputs!$E$4)^(9-1))*(Inputs!$E$5*$C4))*Inputs!$E$6)+((Inputs!$E$7*(1+Inputs!$E$8)^(9-1))*Inputs!$E$9)+(Inputs!$E$11*(1+Inputs!$E$12)^(9-1))+(IF(9&lt;Inputs!$E$13,0,Inputs!$E$14*(1+Inputs!$E$15)^(9-Inputs!$E$13)*Inputs!$E$16))))*Inputs!$E$26+((((Inputs!$E$3*(1+Inputs!$E$4)^(9-1))*(Inputs!$E$5*$C4))*Inputs!$E$6)+((Inputs!$E$7*(1+Inputs!$E$8)^(9-1))*Inputs!$E$9)+(IF(9&lt;Inputs!$E$13,0,Inputs!$E$14*(1+Inputs!$E$15)^(9-Inputs!$E$13)*Inputs!$E$16)))*Inputs!$E$27+(Inputs!$E$3*(1+Inputs!$E$4)^(9-1))*Inputs!$E$30))+(((Inputs!$E$7*(1+Inputs!$E$8)^(9-1))*Inputs!$E$10))+(((((((Inputs!$E$3*(1+Inputs!$E$4)^(9-1))*(Inputs!$E$5*$C4))*Inputs!$E$6)+((Inputs!$E$7*(1+Inputs!$E$8)^(9-1))*Inputs!$E$9)+(Inputs!$E$11*(1+Inputs!$E$12)^(9-1))+(IF(9&lt;Inputs!$E$13,0,Inputs!$E$14*(1+Inputs!$E$15)^(9-Inputs!$E$13)*Inputs!$E$16))))*Inputs!$E$29))+((Inputs!$E$19+Inputs!$E$20+Inputs!$E$21+Inputs!$E$22+Inputs!$E$23))+(IF(AND(Inputs!$E$24&gt;0,9=Inputs!$E$24),Inputs!$E$25,0))+(MAX((((((((Inputs!$E$3*(1+Inputs!$E$4)^(9-1))*(Inputs!$E$5*$C4))*Inputs!$E$6)+((Inputs!$E$7*(1+Inputs!$E$8)^(9-1))*Inputs!$E$9)+(Inputs!$E$11*(1+Inputs!$E$12)^(9-1))+(IF(9&lt;Inputs!$E$13,0,Inputs!$E$14*(1+Inputs!$E$15)^(9-Inputs!$E$13)*Inputs!$E$16))))-(((((((Inputs!$E$3*(1+Inputs!$E$4)^(9-1))*(Inputs!$E$5*$C4))*Inputs!$E$6)+((Inputs!$E$7*(1+Inputs!$E$8)^(9-1))*Inputs!$E$9)+(Inputs!$E$11*(1+Inputs!$E$12)^(9-1))+(IF(9&lt;Inputs!$E$13,0,Inputs!$E$14*(1+Inputs!$E$15)^(9-Inputs!$E$13)*Inputs!$E$16))))*Inputs!$E$26+((((Inputs!$E$3*(1+Inputs!$E$4)^(9-1))*(Inputs!$E$5*$C4))*Inputs!$E$6)+((Inputs!$E$7*(1+Inputs!$E$8)^(9-1))*Inputs!$E$9)+(IF(9&lt;Inputs!$E$13,0,Inputs!$E$14*(1+Inputs!$E$15)^(9-Inputs!$E$13)*Inputs!$E$16)))*Inputs!$E$27+(Inputs!$E$3*(1+Inputs!$E$4)^(9-1))*Inputs!$E$30))-(((Inputs!$E$7*(1+Inputs!$E$8)^(9-1))*Inputs!$E$10))-(((((((Inputs!$E$3*(1+Inputs!$E$4)^(9-1))*(Inputs!$E$5*$C4))*Inputs!$E$6)+((Inputs!$E$7*(1+Inputs!$E$8)^(9-1))*Inputs!$E$9)+(Inputs!$E$11*(1+Inputs!$E$12)^(9-1))+(IF(9&lt;Inputs!$E$13,0,Inputs!$E$14*(1+Inputs!$E$15)^(9-Inputs!$E$13)*Inputs!$E$16))))*Inputs!$E$29))-((Inputs!$E$19+Inputs!$E$20+Inputs!$E$21+Inputs!$E$22+Inputs!$E$23))-(IF(AND(Inputs!$E$24&gt;0,9=Inputs!$E$24),Inputs!$E$25,0)))),0)*Inputs!$E$28))))+(IF(AND(Inputs!$E$17&gt;0,9=Inputs!$E$17),Inputs!$E$18,0))))</f>
        <v/>
      </c>
      <c r="P4" s="8">
        <f>O4+(((((((((Inputs!$E$3*(1+Inputs!$E$4)^(10-1))*(Inputs!$E$5*$C4))*Inputs!$E$6)+((Inputs!$E$7*(1+Inputs!$E$8)^(10-1))*Inputs!$E$9)+(Inputs!$E$11*(1+Inputs!$E$12)^(10-1))+(IF(10&lt;Inputs!$E$13,0,Inputs!$E$14*(1+Inputs!$E$15)^(10-Inputs!$E$13)*Inputs!$E$16))))-((((((((Inputs!$E$3*(1+Inputs!$E$4)^(10-1))*(Inputs!$E$5*$C4))*Inputs!$E$6)+((Inputs!$E$7*(1+Inputs!$E$8)^(10-1))*Inputs!$E$9)+(Inputs!$E$11*(1+Inputs!$E$12)^(10-1))+(IF(10&lt;Inputs!$E$13,0,Inputs!$E$14*(1+Inputs!$E$15)^(10-Inputs!$E$13)*Inputs!$E$16))))*Inputs!$E$26+((((Inputs!$E$3*(1+Inputs!$E$4)^(10-1))*(Inputs!$E$5*$C4))*Inputs!$E$6)+((Inputs!$E$7*(1+Inputs!$E$8)^(10-1))*Inputs!$E$9)+(IF(10&lt;Inputs!$E$13,0,Inputs!$E$14*(1+Inputs!$E$15)^(10-Inputs!$E$13)*Inputs!$E$16)))*Inputs!$E$27+(Inputs!$E$3*(1+Inputs!$E$4)^(10-1))*Inputs!$E$30))+(((Inputs!$E$7*(1+Inputs!$E$8)^(10-1))*Inputs!$E$10))+(((((((Inputs!$E$3*(1+Inputs!$E$4)^(10-1))*(Inputs!$E$5*$C4))*Inputs!$E$6)+((Inputs!$E$7*(1+Inputs!$E$8)^(10-1))*Inputs!$E$9)+(Inputs!$E$11*(1+Inputs!$E$12)^(10-1))+(IF(10&lt;Inputs!$E$13,0,Inputs!$E$14*(1+Inputs!$E$15)^(10-Inputs!$E$13)*Inputs!$E$16))))*Inputs!$E$29))+((Inputs!$E$19+Inputs!$E$20+Inputs!$E$21+Inputs!$E$22+Inputs!$E$23))+(IF(AND(Inputs!$E$24&gt;0,10=Inputs!$E$24),Inputs!$E$25,0))+(MAX((((((((Inputs!$E$3*(1+Inputs!$E$4)^(10-1))*(Inputs!$E$5*$C4))*Inputs!$E$6)+((Inputs!$E$7*(1+Inputs!$E$8)^(10-1))*Inputs!$E$9)+(Inputs!$E$11*(1+Inputs!$E$12)^(10-1))+(IF(10&lt;Inputs!$E$13,0,Inputs!$E$14*(1+Inputs!$E$15)^(10-Inputs!$E$13)*Inputs!$E$16))))-(((((((Inputs!$E$3*(1+Inputs!$E$4)^(10-1))*(Inputs!$E$5*$C4))*Inputs!$E$6)+((Inputs!$E$7*(1+Inputs!$E$8)^(10-1))*Inputs!$E$9)+(Inputs!$E$11*(1+Inputs!$E$12)^(10-1))+(IF(10&lt;Inputs!$E$13,0,Inputs!$E$14*(1+Inputs!$E$15)^(10-Inputs!$E$13)*Inputs!$E$16))))*Inputs!$E$26+((((Inputs!$E$3*(1+Inputs!$E$4)^(10-1))*(Inputs!$E$5*$C4))*Inputs!$E$6)+((Inputs!$E$7*(1+Inputs!$E$8)^(10-1))*Inputs!$E$9)+(IF(10&lt;Inputs!$E$13,0,Inputs!$E$14*(1+Inputs!$E$15)^(10-Inputs!$E$13)*Inputs!$E$16)))*Inputs!$E$27+(Inputs!$E$3*(1+Inputs!$E$4)^(10-1))*Inputs!$E$30))-(((Inputs!$E$7*(1+Inputs!$E$8)^(10-1))*Inputs!$E$10))-(((((((Inputs!$E$3*(1+Inputs!$E$4)^(10-1))*(Inputs!$E$5*$C4))*Inputs!$E$6)+((Inputs!$E$7*(1+Inputs!$E$8)^(10-1))*Inputs!$E$9)+(Inputs!$E$11*(1+Inputs!$E$12)^(10-1))+(IF(10&lt;Inputs!$E$13,0,Inputs!$E$14*(1+Inputs!$E$15)^(10-Inputs!$E$13)*Inputs!$E$16))))*Inputs!$E$29))-((Inputs!$E$19+Inputs!$E$20+Inputs!$E$21+Inputs!$E$22+Inputs!$E$23))-(IF(AND(Inputs!$E$24&gt;0,10=Inputs!$E$24),Inputs!$E$25,0)))),0)*Inputs!$E$28))))+(IF(AND(Inputs!$E$17&gt;0,10=Inputs!$E$17),Inputs!$E$18,0))))</f>
        <v/>
      </c>
      <c r="Q4" s="8">
        <f>P4+(((((((((Inputs!$E$3*(1+Inputs!$E$4)^(11-1))*(Inputs!$E$5*$C4))*Inputs!$E$6)+((Inputs!$E$7*(1+Inputs!$E$8)^(11-1))*Inputs!$E$9)+(Inputs!$E$11*(1+Inputs!$E$12)^(11-1))+(IF(11&lt;Inputs!$E$13,0,Inputs!$E$14*(1+Inputs!$E$15)^(11-Inputs!$E$13)*Inputs!$E$16))))-((((((((Inputs!$E$3*(1+Inputs!$E$4)^(11-1))*(Inputs!$E$5*$C4))*Inputs!$E$6)+((Inputs!$E$7*(1+Inputs!$E$8)^(11-1))*Inputs!$E$9)+(Inputs!$E$11*(1+Inputs!$E$12)^(11-1))+(IF(11&lt;Inputs!$E$13,0,Inputs!$E$14*(1+Inputs!$E$15)^(11-Inputs!$E$13)*Inputs!$E$16))))*Inputs!$E$26+((((Inputs!$E$3*(1+Inputs!$E$4)^(11-1))*(Inputs!$E$5*$C4))*Inputs!$E$6)+((Inputs!$E$7*(1+Inputs!$E$8)^(11-1))*Inputs!$E$9)+(IF(11&lt;Inputs!$E$13,0,Inputs!$E$14*(1+Inputs!$E$15)^(11-Inputs!$E$13)*Inputs!$E$16)))*Inputs!$E$27+(Inputs!$E$3*(1+Inputs!$E$4)^(11-1))*Inputs!$E$30))+(((Inputs!$E$7*(1+Inputs!$E$8)^(11-1))*Inputs!$E$10))+(((((((Inputs!$E$3*(1+Inputs!$E$4)^(11-1))*(Inputs!$E$5*$C4))*Inputs!$E$6)+((Inputs!$E$7*(1+Inputs!$E$8)^(11-1))*Inputs!$E$9)+(Inputs!$E$11*(1+Inputs!$E$12)^(11-1))+(IF(11&lt;Inputs!$E$13,0,Inputs!$E$14*(1+Inputs!$E$15)^(11-Inputs!$E$13)*Inputs!$E$16))))*Inputs!$E$29))+((Inputs!$E$19+Inputs!$E$20+Inputs!$E$21+Inputs!$E$22+Inputs!$E$23))+(IF(AND(Inputs!$E$24&gt;0,11=Inputs!$E$24),Inputs!$E$25,0))+(MAX((((((((Inputs!$E$3*(1+Inputs!$E$4)^(11-1))*(Inputs!$E$5*$C4))*Inputs!$E$6)+((Inputs!$E$7*(1+Inputs!$E$8)^(11-1))*Inputs!$E$9)+(Inputs!$E$11*(1+Inputs!$E$12)^(11-1))+(IF(11&lt;Inputs!$E$13,0,Inputs!$E$14*(1+Inputs!$E$15)^(11-Inputs!$E$13)*Inputs!$E$16))))-(((((((Inputs!$E$3*(1+Inputs!$E$4)^(11-1))*(Inputs!$E$5*$C4))*Inputs!$E$6)+((Inputs!$E$7*(1+Inputs!$E$8)^(11-1))*Inputs!$E$9)+(Inputs!$E$11*(1+Inputs!$E$12)^(11-1))+(IF(11&lt;Inputs!$E$13,0,Inputs!$E$14*(1+Inputs!$E$15)^(11-Inputs!$E$13)*Inputs!$E$16))))*Inputs!$E$26+((((Inputs!$E$3*(1+Inputs!$E$4)^(11-1))*(Inputs!$E$5*$C4))*Inputs!$E$6)+((Inputs!$E$7*(1+Inputs!$E$8)^(11-1))*Inputs!$E$9)+(IF(11&lt;Inputs!$E$13,0,Inputs!$E$14*(1+Inputs!$E$15)^(11-Inputs!$E$13)*Inputs!$E$16)))*Inputs!$E$27+(Inputs!$E$3*(1+Inputs!$E$4)^(11-1))*Inputs!$E$30))-(((Inputs!$E$7*(1+Inputs!$E$8)^(11-1))*Inputs!$E$10))-(((((((Inputs!$E$3*(1+Inputs!$E$4)^(11-1))*(Inputs!$E$5*$C4))*Inputs!$E$6)+((Inputs!$E$7*(1+Inputs!$E$8)^(11-1))*Inputs!$E$9)+(Inputs!$E$11*(1+Inputs!$E$12)^(11-1))+(IF(11&lt;Inputs!$E$13,0,Inputs!$E$14*(1+Inputs!$E$15)^(11-Inputs!$E$13)*Inputs!$E$16))))*Inputs!$E$29))-((Inputs!$E$19+Inputs!$E$20+Inputs!$E$21+Inputs!$E$22+Inputs!$E$23))-(IF(AND(Inputs!$E$24&gt;0,11=Inputs!$E$24),Inputs!$E$25,0)))),0)*Inputs!$E$28))))+(IF(AND(Inputs!$E$17&gt;0,11=Inputs!$E$17),Inputs!$E$18,0))))</f>
        <v/>
      </c>
      <c r="R4" s="8">
        <f>Q4+(((((((((Inputs!$E$3*(1+Inputs!$E$4)^(12-1))*(Inputs!$E$5*$C4))*Inputs!$E$6)+((Inputs!$E$7*(1+Inputs!$E$8)^(12-1))*Inputs!$E$9)+(Inputs!$E$11*(1+Inputs!$E$12)^(12-1))+(IF(12&lt;Inputs!$E$13,0,Inputs!$E$14*(1+Inputs!$E$15)^(12-Inputs!$E$13)*Inputs!$E$16))))-((((((((Inputs!$E$3*(1+Inputs!$E$4)^(12-1))*(Inputs!$E$5*$C4))*Inputs!$E$6)+((Inputs!$E$7*(1+Inputs!$E$8)^(12-1))*Inputs!$E$9)+(Inputs!$E$11*(1+Inputs!$E$12)^(12-1))+(IF(12&lt;Inputs!$E$13,0,Inputs!$E$14*(1+Inputs!$E$15)^(12-Inputs!$E$13)*Inputs!$E$16))))*Inputs!$E$26+((((Inputs!$E$3*(1+Inputs!$E$4)^(12-1))*(Inputs!$E$5*$C4))*Inputs!$E$6)+((Inputs!$E$7*(1+Inputs!$E$8)^(12-1))*Inputs!$E$9)+(IF(12&lt;Inputs!$E$13,0,Inputs!$E$14*(1+Inputs!$E$15)^(12-Inputs!$E$13)*Inputs!$E$16)))*Inputs!$E$27+(Inputs!$E$3*(1+Inputs!$E$4)^(12-1))*Inputs!$E$30))+(((Inputs!$E$7*(1+Inputs!$E$8)^(12-1))*Inputs!$E$10))+(((((((Inputs!$E$3*(1+Inputs!$E$4)^(12-1))*(Inputs!$E$5*$C4))*Inputs!$E$6)+((Inputs!$E$7*(1+Inputs!$E$8)^(12-1))*Inputs!$E$9)+(Inputs!$E$11*(1+Inputs!$E$12)^(12-1))+(IF(12&lt;Inputs!$E$13,0,Inputs!$E$14*(1+Inputs!$E$15)^(12-Inputs!$E$13)*Inputs!$E$16))))*Inputs!$E$29))+((Inputs!$E$19+Inputs!$E$20+Inputs!$E$21+Inputs!$E$22+Inputs!$E$23))+(IF(AND(Inputs!$E$24&gt;0,12=Inputs!$E$24),Inputs!$E$25,0))+(MAX((((((((Inputs!$E$3*(1+Inputs!$E$4)^(12-1))*(Inputs!$E$5*$C4))*Inputs!$E$6)+((Inputs!$E$7*(1+Inputs!$E$8)^(12-1))*Inputs!$E$9)+(Inputs!$E$11*(1+Inputs!$E$12)^(12-1))+(IF(12&lt;Inputs!$E$13,0,Inputs!$E$14*(1+Inputs!$E$15)^(12-Inputs!$E$13)*Inputs!$E$16))))-(((((((Inputs!$E$3*(1+Inputs!$E$4)^(12-1))*(Inputs!$E$5*$C4))*Inputs!$E$6)+((Inputs!$E$7*(1+Inputs!$E$8)^(12-1))*Inputs!$E$9)+(Inputs!$E$11*(1+Inputs!$E$12)^(12-1))+(IF(12&lt;Inputs!$E$13,0,Inputs!$E$14*(1+Inputs!$E$15)^(12-Inputs!$E$13)*Inputs!$E$16))))*Inputs!$E$26+((((Inputs!$E$3*(1+Inputs!$E$4)^(12-1))*(Inputs!$E$5*$C4))*Inputs!$E$6)+((Inputs!$E$7*(1+Inputs!$E$8)^(12-1))*Inputs!$E$9)+(IF(12&lt;Inputs!$E$13,0,Inputs!$E$14*(1+Inputs!$E$15)^(12-Inputs!$E$13)*Inputs!$E$16)))*Inputs!$E$27+(Inputs!$E$3*(1+Inputs!$E$4)^(12-1))*Inputs!$E$30))-(((Inputs!$E$7*(1+Inputs!$E$8)^(12-1))*Inputs!$E$10))-(((((((Inputs!$E$3*(1+Inputs!$E$4)^(12-1))*(Inputs!$E$5*$C4))*Inputs!$E$6)+((Inputs!$E$7*(1+Inputs!$E$8)^(12-1))*Inputs!$E$9)+(Inputs!$E$11*(1+Inputs!$E$12)^(12-1))+(IF(12&lt;Inputs!$E$13,0,Inputs!$E$14*(1+Inputs!$E$15)^(12-Inputs!$E$13)*Inputs!$E$16))))*Inputs!$E$29))-((Inputs!$E$19+Inputs!$E$20+Inputs!$E$21+Inputs!$E$22+Inputs!$E$23))-(IF(AND(Inputs!$E$24&gt;0,12=Inputs!$E$24),Inputs!$E$25,0)))),0)*Inputs!$E$28))))+(IF(AND(Inputs!$E$17&gt;0,12=Inputs!$E$17),Inputs!$E$18,0))))</f>
        <v/>
      </c>
      <c r="S4" s="8">
        <f>R4+(((((((((Inputs!$E$3*(1+Inputs!$E$4)^(13-1))*(Inputs!$E$5*$C4))*Inputs!$E$6)+((Inputs!$E$7*(1+Inputs!$E$8)^(13-1))*Inputs!$E$9)+(Inputs!$E$11*(1+Inputs!$E$12)^(13-1))+(IF(13&lt;Inputs!$E$13,0,Inputs!$E$14*(1+Inputs!$E$15)^(13-Inputs!$E$13)*Inputs!$E$16))))-((((((((Inputs!$E$3*(1+Inputs!$E$4)^(13-1))*(Inputs!$E$5*$C4))*Inputs!$E$6)+((Inputs!$E$7*(1+Inputs!$E$8)^(13-1))*Inputs!$E$9)+(Inputs!$E$11*(1+Inputs!$E$12)^(13-1))+(IF(13&lt;Inputs!$E$13,0,Inputs!$E$14*(1+Inputs!$E$15)^(13-Inputs!$E$13)*Inputs!$E$16))))*Inputs!$E$26+((((Inputs!$E$3*(1+Inputs!$E$4)^(13-1))*(Inputs!$E$5*$C4))*Inputs!$E$6)+((Inputs!$E$7*(1+Inputs!$E$8)^(13-1))*Inputs!$E$9)+(IF(13&lt;Inputs!$E$13,0,Inputs!$E$14*(1+Inputs!$E$15)^(13-Inputs!$E$13)*Inputs!$E$16)))*Inputs!$E$27+(Inputs!$E$3*(1+Inputs!$E$4)^(13-1))*Inputs!$E$30))+(((Inputs!$E$7*(1+Inputs!$E$8)^(13-1))*Inputs!$E$10))+(((((((Inputs!$E$3*(1+Inputs!$E$4)^(13-1))*(Inputs!$E$5*$C4))*Inputs!$E$6)+((Inputs!$E$7*(1+Inputs!$E$8)^(13-1))*Inputs!$E$9)+(Inputs!$E$11*(1+Inputs!$E$12)^(13-1))+(IF(13&lt;Inputs!$E$13,0,Inputs!$E$14*(1+Inputs!$E$15)^(13-Inputs!$E$13)*Inputs!$E$16))))*Inputs!$E$29))+((Inputs!$E$19+Inputs!$E$20+Inputs!$E$21+Inputs!$E$22+Inputs!$E$23))+(IF(AND(Inputs!$E$24&gt;0,13=Inputs!$E$24),Inputs!$E$25,0))+(MAX((((((((Inputs!$E$3*(1+Inputs!$E$4)^(13-1))*(Inputs!$E$5*$C4))*Inputs!$E$6)+((Inputs!$E$7*(1+Inputs!$E$8)^(13-1))*Inputs!$E$9)+(Inputs!$E$11*(1+Inputs!$E$12)^(13-1))+(IF(13&lt;Inputs!$E$13,0,Inputs!$E$14*(1+Inputs!$E$15)^(13-Inputs!$E$13)*Inputs!$E$16))))-(((((((Inputs!$E$3*(1+Inputs!$E$4)^(13-1))*(Inputs!$E$5*$C4))*Inputs!$E$6)+((Inputs!$E$7*(1+Inputs!$E$8)^(13-1))*Inputs!$E$9)+(Inputs!$E$11*(1+Inputs!$E$12)^(13-1))+(IF(13&lt;Inputs!$E$13,0,Inputs!$E$14*(1+Inputs!$E$15)^(13-Inputs!$E$13)*Inputs!$E$16))))*Inputs!$E$26+((((Inputs!$E$3*(1+Inputs!$E$4)^(13-1))*(Inputs!$E$5*$C4))*Inputs!$E$6)+((Inputs!$E$7*(1+Inputs!$E$8)^(13-1))*Inputs!$E$9)+(IF(13&lt;Inputs!$E$13,0,Inputs!$E$14*(1+Inputs!$E$15)^(13-Inputs!$E$13)*Inputs!$E$16)))*Inputs!$E$27+(Inputs!$E$3*(1+Inputs!$E$4)^(13-1))*Inputs!$E$30))-(((Inputs!$E$7*(1+Inputs!$E$8)^(13-1))*Inputs!$E$10))-(((((((Inputs!$E$3*(1+Inputs!$E$4)^(13-1))*(Inputs!$E$5*$C4))*Inputs!$E$6)+((Inputs!$E$7*(1+Inputs!$E$8)^(13-1))*Inputs!$E$9)+(Inputs!$E$11*(1+Inputs!$E$12)^(13-1))+(IF(13&lt;Inputs!$E$13,0,Inputs!$E$14*(1+Inputs!$E$15)^(13-Inputs!$E$13)*Inputs!$E$16))))*Inputs!$E$29))-((Inputs!$E$19+Inputs!$E$20+Inputs!$E$21+Inputs!$E$22+Inputs!$E$23))-(IF(AND(Inputs!$E$24&gt;0,13=Inputs!$E$24),Inputs!$E$25,0)))),0)*Inputs!$E$28))))+(IF(AND(Inputs!$E$17&gt;0,13=Inputs!$E$17),Inputs!$E$18,0))))</f>
        <v/>
      </c>
      <c r="T4" s="8">
        <f>S4+(((((((((Inputs!$E$3*(1+Inputs!$E$4)^(14-1))*(Inputs!$E$5*$C4))*Inputs!$E$6)+((Inputs!$E$7*(1+Inputs!$E$8)^(14-1))*Inputs!$E$9)+(Inputs!$E$11*(1+Inputs!$E$12)^(14-1))+(IF(14&lt;Inputs!$E$13,0,Inputs!$E$14*(1+Inputs!$E$15)^(14-Inputs!$E$13)*Inputs!$E$16))))-((((((((Inputs!$E$3*(1+Inputs!$E$4)^(14-1))*(Inputs!$E$5*$C4))*Inputs!$E$6)+((Inputs!$E$7*(1+Inputs!$E$8)^(14-1))*Inputs!$E$9)+(Inputs!$E$11*(1+Inputs!$E$12)^(14-1))+(IF(14&lt;Inputs!$E$13,0,Inputs!$E$14*(1+Inputs!$E$15)^(14-Inputs!$E$13)*Inputs!$E$16))))*Inputs!$E$26+((((Inputs!$E$3*(1+Inputs!$E$4)^(14-1))*(Inputs!$E$5*$C4))*Inputs!$E$6)+((Inputs!$E$7*(1+Inputs!$E$8)^(14-1))*Inputs!$E$9)+(IF(14&lt;Inputs!$E$13,0,Inputs!$E$14*(1+Inputs!$E$15)^(14-Inputs!$E$13)*Inputs!$E$16)))*Inputs!$E$27+(Inputs!$E$3*(1+Inputs!$E$4)^(14-1))*Inputs!$E$30))+(((Inputs!$E$7*(1+Inputs!$E$8)^(14-1))*Inputs!$E$10))+(((((((Inputs!$E$3*(1+Inputs!$E$4)^(14-1))*(Inputs!$E$5*$C4))*Inputs!$E$6)+((Inputs!$E$7*(1+Inputs!$E$8)^(14-1))*Inputs!$E$9)+(Inputs!$E$11*(1+Inputs!$E$12)^(14-1))+(IF(14&lt;Inputs!$E$13,0,Inputs!$E$14*(1+Inputs!$E$15)^(14-Inputs!$E$13)*Inputs!$E$16))))*Inputs!$E$29))+((Inputs!$E$19+Inputs!$E$20+Inputs!$E$21+Inputs!$E$22+Inputs!$E$23))+(IF(AND(Inputs!$E$24&gt;0,14=Inputs!$E$24),Inputs!$E$25,0))+(MAX((((((((Inputs!$E$3*(1+Inputs!$E$4)^(14-1))*(Inputs!$E$5*$C4))*Inputs!$E$6)+((Inputs!$E$7*(1+Inputs!$E$8)^(14-1))*Inputs!$E$9)+(Inputs!$E$11*(1+Inputs!$E$12)^(14-1))+(IF(14&lt;Inputs!$E$13,0,Inputs!$E$14*(1+Inputs!$E$15)^(14-Inputs!$E$13)*Inputs!$E$16))))-(((((((Inputs!$E$3*(1+Inputs!$E$4)^(14-1))*(Inputs!$E$5*$C4))*Inputs!$E$6)+((Inputs!$E$7*(1+Inputs!$E$8)^(14-1))*Inputs!$E$9)+(Inputs!$E$11*(1+Inputs!$E$12)^(14-1))+(IF(14&lt;Inputs!$E$13,0,Inputs!$E$14*(1+Inputs!$E$15)^(14-Inputs!$E$13)*Inputs!$E$16))))*Inputs!$E$26+((((Inputs!$E$3*(1+Inputs!$E$4)^(14-1))*(Inputs!$E$5*$C4))*Inputs!$E$6)+((Inputs!$E$7*(1+Inputs!$E$8)^(14-1))*Inputs!$E$9)+(IF(14&lt;Inputs!$E$13,0,Inputs!$E$14*(1+Inputs!$E$15)^(14-Inputs!$E$13)*Inputs!$E$16)))*Inputs!$E$27+(Inputs!$E$3*(1+Inputs!$E$4)^(14-1))*Inputs!$E$30))-(((Inputs!$E$7*(1+Inputs!$E$8)^(14-1))*Inputs!$E$10))-(((((((Inputs!$E$3*(1+Inputs!$E$4)^(14-1))*(Inputs!$E$5*$C4))*Inputs!$E$6)+((Inputs!$E$7*(1+Inputs!$E$8)^(14-1))*Inputs!$E$9)+(Inputs!$E$11*(1+Inputs!$E$12)^(14-1))+(IF(14&lt;Inputs!$E$13,0,Inputs!$E$14*(1+Inputs!$E$15)^(14-Inputs!$E$13)*Inputs!$E$16))))*Inputs!$E$29))-((Inputs!$E$19+Inputs!$E$20+Inputs!$E$21+Inputs!$E$22+Inputs!$E$23))-(IF(AND(Inputs!$E$24&gt;0,14=Inputs!$E$24),Inputs!$E$25,0)))),0)*Inputs!$E$28))))+(IF(AND(Inputs!$E$17&gt;0,14=Inputs!$E$17),Inputs!$E$18,0))))</f>
        <v/>
      </c>
      <c r="U4" s="8">
        <f>T4+(((((((((Inputs!$E$3*(1+Inputs!$E$4)^(15-1))*(Inputs!$E$5*$C4))*Inputs!$E$6)+((Inputs!$E$7*(1+Inputs!$E$8)^(15-1))*Inputs!$E$9)+(Inputs!$E$11*(1+Inputs!$E$12)^(15-1))+(IF(15&lt;Inputs!$E$13,0,Inputs!$E$14*(1+Inputs!$E$15)^(15-Inputs!$E$13)*Inputs!$E$16))))-((((((((Inputs!$E$3*(1+Inputs!$E$4)^(15-1))*(Inputs!$E$5*$C4))*Inputs!$E$6)+((Inputs!$E$7*(1+Inputs!$E$8)^(15-1))*Inputs!$E$9)+(Inputs!$E$11*(1+Inputs!$E$12)^(15-1))+(IF(15&lt;Inputs!$E$13,0,Inputs!$E$14*(1+Inputs!$E$15)^(15-Inputs!$E$13)*Inputs!$E$16))))*Inputs!$E$26+((((Inputs!$E$3*(1+Inputs!$E$4)^(15-1))*(Inputs!$E$5*$C4))*Inputs!$E$6)+((Inputs!$E$7*(1+Inputs!$E$8)^(15-1))*Inputs!$E$9)+(IF(15&lt;Inputs!$E$13,0,Inputs!$E$14*(1+Inputs!$E$15)^(15-Inputs!$E$13)*Inputs!$E$16)))*Inputs!$E$27+(Inputs!$E$3*(1+Inputs!$E$4)^(15-1))*Inputs!$E$30))+(((Inputs!$E$7*(1+Inputs!$E$8)^(15-1))*Inputs!$E$10))+(((((((Inputs!$E$3*(1+Inputs!$E$4)^(15-1))*(Inputs!$E$5*$C4))*Inputs!$E$6)+((Inputs!$E$7*(1+Inputs!$E$8)^(15-1))*Inputs!$E$9)+(Inputs!$E$11*(1+Inputs!$E$12)^(15-1))+(IF(15&lt;Inputs!$E$13,0,Inputs!$E$14*(1+Inputs!$E$15)^(15-Inputs!$E$13)*Inputs!$E$16))))*Inputs!$E$29))+((Inputs!$E$19+Inputs!$E$20+Inputs!$E$21+Inputs!$E$22+Inputs!$E$23))+(IF(AND(Inputs!$E$24&gt;0,15=Inputs!$E$24),Inputs!$E$25,0))+(MAX((((((((Inputs!$E$3*(1+Inputs!$E$4)^(15-1))*(Inputs!$E$5*$C4))*Inputs!$E$6)+((Inputs!$E$7*(1+Inputs!$E$8)^(15-1))*Inputs!$E$9)+(Inputs!$E$11*(1+Inputs!$E$12)^(15-1))+(IF(15&lt;Inputs!$E$13,0,Inputs!$E$14*(1+Inputs!$E$15)^(15-Inputs!$E$13)*Inputs!$E$16))))-(((((((Inputs!$E$3*(1+Inputs!$E$4)^(15-1))*(Inputs!$E$5*$C4))*Inputs!$E$6)+((Inputs!$E$7*(1+Inputs!$E$8)^(15-1))*Inputs!$E$9)+(Inputs!$E$11*(1+Inputs!$E$12)^(15-1))+(IF(15&lt;Inputs!$E$13,0,Inputs!$E$14*(1+Inputs!$E$15)^(15-Inputs!$E$13)*Inputs!$E$16))))*Inputs!$E$26+((((Inputs!$E$3*(1+Inputs!$E$4)^(15-1))*(Inputs!$E$5*$C4))*Inputs!$E$6)+((Inputs!$E$7*(1+Inputs!$E$8)^(15-1))*Inputs!$E$9)+(IF(15&lt;Inputs!$E$13,0,Inputs!$E$14*(1+Inputs!$E$15)^(15-Inputs!$E$13)*Inputs!$E$16)))*Inputs!$E$27+(Inputs!$E$3*(1+Inputs!$E$4)^(15-1))*Inputs!$E$30))-(((Inputs!$E$7*(1+Inputs!$E$8)^(15-1))*Inputs!$E$10))-(((((((Inputs!$E$3*(1+Inputs!$E$4)^(15-1))*(Inputs!$E$5*$C4))*Inputs!$E$6)+((Inputs!$E$7*(1+Inputs!$E$8)^(15-1))*Inputs!$E$9)+(Inputs!$E$11*(1+Inputs!$E$12)^(15-1))+(IF(15&lt;Inputs!$E$13,0,Inputs!$E$14*(1+Inputs!$E$15)^(15-Inputs!$E$13)*Inputs!$E$16))))*Inputs!$E$29))-((Inputs!$E$19+Inputs!$E$20+Inputs!$E$21+Inputs!$E$22+Inputs!$E$23))-(IF(AND(Inputs!$E$24&gt;0,15=Inputs!$E$24),Inputs!$E$25,0)))),0)*Inputs!$E$28))))+(IF(AND(Inputs!$E$17&gt;0,15=Inputs!$E$17),Inputs!$E$18,0))))</f>
        <v/>
      </c>
      <c r="V4" s="8">
        <f>U4+(((((((((Inputs!$E$3*(1+Inputs!$E$4)^(16-1))*(Inputs!$E$5*$C4))*Inputs!$E$6)+((Inputs!$E$7*(1+Inputs!$E$8)^(16-1))*Inputs!$E$9)+(Inputs!$E$11*(1+Inputs!$E$12)^(16-1))+(IF(16&lt;Inputs!$E$13,0,Inputs!$E$14*(1+Inputs!$E$15)^(16-Inputs!$E$13)*Inputs!$E$16))))-((((((((Inputs!$E$3*(1+Inputs!$E$4)^(16-1))*(Inputs!$E$5*$C4))*Inputs!$E$6)+((Inputs!$E$7*(1+Inputs!$E$8)^(16-1))*Inputs!$E$9)+(Inputs!$E$11*(1+Inputs!$E$12)^(16-1))+(IF(16&lt;Inputs!$E$13,0,Inputs!$E$14*(1+Inputs!$E$15)^(16-Inputs!$E$13)*Inputs!$E$16))))*Inputs!$E$26+((((Inputs!$E$3*(1+Inputs!$E$4)^(16-1))*(Inputs!$E$5*$C4))*Inputs!$E$6)+((Inputs!$E$7*(1+Inputs!$E$8)^(16-1))*Inputs!$E$9)+(IF(16&lt;Inputs!$E$13,0,Inputs!$E$14*(1+Inputs!$E$15)^(16-Inputs!$E$13)*Inputs!$E$16)))*Inputs!$E$27+(Inputs!$E$3*(1+Inputs!$E$4)^(16-1))*Inputs!$E$30))+(((Inputs!$E$7*(1+Inputs!$E$8)^(16-1))*Inputs!$E$10))+(((((((Inputs!$E$3*(1+Inputs!$E$4)^(16-1))*(Inputs!$E$5*$C4))*Inputs!$E$6)+((Inputs!$E$7*(1+Inputs!$E$8)^(16-1))*Inputs!$E$9)+(Inputs!$E$11*(1+Inputs!$E$12)^(16-1))+(IF(16&lt;Inputs!$E$13,0,Inputs!$E$14*(1+Inputs!$E$15)^(16-Inputs!$E$13)*Inputs!$E$16))))*Inputs!$E$29))+((Inputs!$E$19+Inputs!$E$20+Inputs!$E$21+Inputs!$E$22+Inputs!$E$23))+(IF(AND(Inputs!$E$24&gt;0,16=Inputs!$E$24),Inputs!$E$25,0))+(MAX((((((((Inputs!$E$3*(1+Inputs!$E$4)^(16-1))*(Inputs!$E$5*$C4))*Inputs!$E$6)+((Inputs!$E$7*(1+Inputs!$E$8)^(16-1))*Inputs!$E$9)+(Inputs!$E$11*(1+Inputs!$E$12)^(16-1))+(IF(16&lt;Inputs!$E$13,0,Inputs!$E$14*(1+Inputs!$E$15)^(16-Inputs!$E$13)*Inputs!$E$16))))-(((((((Inputs!$E$3*(1+Inputs!$E$4)^(16-1))*(Inputs!$E$5*$C4))*Inputs!$E$6)+((Inputs!$E$7*(1+Inputs!$E$8)^(16-1))*Inputs!$E$9)+(Inputs!$E$11*(1+Inputs!$E$12)^(16-1))+(IF(16&lt;Inputs!$E$13,0,Inputs!$E$14*(1+Inputs!$E$15)^(16-Inputs!$E$13)*Inputs!$E$16))))*Inputs!$E$26+((((Inputs!$E$3*(1+Inputs!$E$4)^(16-1))*(Inputs!$E$5*$C4))*Inputs!$E$6)+((Inputs!$E$7*(1+Inputs!$E$8)^(16-1))*Inputs!$E$9)+(IF(16&lt;Inputs!$E$13,0,Inputs!$E$14*(1+Inputs!$E$15)^(16-Inputs!$E$13)*Inputs!$E$16)))*Inputs!$E$27+(Inputs!$E$3*(1+Inputs!$E$4)^(16-1))*Inputs!$E$30))-(((Inputs!$E$7*(1+Inputs!$E$8)^(16-1))*Inputs!$E$10))-(((((((Inputs!$E$3*(1+Inputs!$E$4)^(16-1))*(Inputs!$E$5*$C4))*Inputs!$E$6)+((Inputs!$E$7*(1+Inputs!$E$8)^(16-1))*Inputs!$E$9)+(Inputs!$E$11*(1+Inputs!$E$12)^(16-1))+(IF(16&lt;Inputs!$E$13,0,Inputs!$E$14*(1+Inputs!$E$15)^(16-Inputs!$E$13)*Inputs!$E$16))))*Inputs!$E$29))-((Inputs!$E$19+Inputs!$E$20+Inputs!$E$21+Inputs!$E$22+Inputs!$E$23))-(IF(AND(Inputs!$E$24&gt;0,16=Inputs!$E$24),Inputs!$E$25,0)))),0)*Inputs!$E$28))))+(IF(AND(Inputs!$E$17&gt;0,16=Inputs!$E$17),Inputs!$E$18,0))))</f>
        <v/>
      </c>
      <c r="W4" s="8">
        <f>V4+(((((((((Inputs!$E$3*(1+Inputs!$E$4)^(17-1))*(Inputs!$E$5*$C4))*Inputs!$E$6)+((Inputs!$E$7*(1+Inputs!$E$8)^(17-1))*Inputs!$E$9)+(Inputs!$E$11*(1+Inputs!$E$12)^(17-1))+(IF(17&lt;Inputs!$E$13,0,Inputs!$E$14*(1+Inputs!$E$15)^(17-Inputs!$E$13)*Inputs!$E$16))))-((((((((Inputs!$E$3*(1+Inputs!$E$4)^(17-1))*(Inputs!$E$5*$C4))*Inputs!$E$6)+((Inputs!$E$7*(1+Inputs!$E$8)^(17-1))*Inputs!$E$9)+(Inputs!$E$11*(1+Inputs!$E$12)^(17-1))+(IF(17&lt;Inputs!$E$13,0,Inputs!$E$14*(1+Inputs!$E$15)^(17-Inputs!$E$13)*Inputs!$E$16))))*Inputs!$E$26+((((Inputs!$E$3*(1+Inputs!$E$4)^(17-1))*(Inputs!$E$5*$C4))*Inputs!$E$6)+((Inputs!$E$7*(1+Inputs!$E$8)^(17-1))*Inputs!$E$9)+(IF(17&lt;Inputs!$E$13,0,Inputs!$E$14*(1+Inputs!$E$15)^(17-Inputs!$E$13)*Inputs!$E$16)))*Inputs!$E$27+(Inputs!$E$3*(1+Inputs!$E$4)^(17-1))*Inputs!$E$30))+(((Inputs!$E$7*(1+Inputs!$E$8)^(17-1))*Inputs!$E$10))+(((((((Inputs!$E$3*(1+Inputs!$E$4)^(17-1))*(Inputs!$E$5*$C4))*Inputs!$E$6)+((Inputs!$E$7*(1+Inputs!$E$8)^(17-1))*Inputs!$E$9)+(Inputs!$E$11*(1+Inputs!$E$12)^(17-1))+(IF(17&lt;Inputs!$E$13,0,Inputs!$E$14*(1+Inputs!$E$15)^(17-Inputs!$E$13)*Inputs!$E$16))))*Inputs!$E$29))+((Inputs!$E$19+Inputs!$E$20+Inputs!$E$21+Inputs!$E$22+Inputs!$E$23))+(IF(AND(Inputs!$E$24&gt;0,17=Inputs!$E$24),Inputs!$E$25,0))+(MAX((((((((Inputs!$E$3*(1+Inputs!$E$4)^(17-1))*(Inputs!$E$5*$C4))*Inputs!$E$6)+((Inputs!$E$7*(1+Inputs!$E$8)^(17-1))*Inputs!$E$9)+(Inputs!$E$11*(1+Inputs!$E$12)^(17-1))+(IF(17&lt;Inputs!$E$13,0,Inputs!$E$14*(1+Inputs!$E$15)^(17-Inputs!$E$13)*Inputs!$E$16))))-(((((((Inputs!$E$3*(1+Inputs!$E$4)^(17-1))*(Inputs!$E$5*$C4))*Inputs!$E$6)+((Inputs!$E$7*(1+Inputs!$E$8)^(17-1))*Inputs!$E$9)+(Inputs!$E$11*(1+Inputs!$E$12)^(17-1))+(IF(17&lt;Inputs!$E$13,0,Inputs!$E$14*(1+Inputs!$E$15)^(17-Inputs!$E$13)*Inputs!$E$16))))*Inputs!$E$26+((((Inputs!$E$3*(1+Inputs!$E$4)^(17-1))*(Inputs!$E$5*$C4))*Inputs!$E$6)+((Inputs!$E$7*(1+Inputs!$E$8)^(17-1))*Inputs!$E$9)+(IF(17&lt;Inputs!$E$13,0,Inputs!$E$14*(1+Inputs!$E$15)^(17-Inputs!$E$13)*Inputs!$E$16)))*Inputs!$E$27+(Inputs!$E$3*(1+Inputs!$E$4)^(17-1))*Inputs!$E$30))-(((Inputs!$E$7*(1+Inputs!$E$8)^(17-1))*Inputs!$E$10))-(((((((Inputs!$E$3*(1+Inputs!$E$4)^(17-1))*(Inputs!$E$5*$C4))*Inputs!$E$6)+((Inputs!$E$7*(1+Inputs!$E$8)^(17-1))*Inputs!$E$9)+(Inputs!$E$11*(1+Inputs!$E$12)^(17-1))+(IF(17&lt;Inputs!$E$13,0,Inputs!$E$14*(1+Inputs!$E$15)^(17-Inputs!$E$13)*Inputs!$E$16))))*Inputs!$E$29))-((Inputs!$E$19+Inputs!$E$20+Inputs!$E$21+Inputs!$E$22+Inputs!$E$23))-(IF(AND(Inputs!$E$24&gt;0,17=Inputs!$E$24),Inputs!$E$25,0)))),0)*Inputs!$E$28))))+(IF(AND(Inputs!$E$17&gt;0,17=Inputs!$E$17),Inputs!$E$18,0))))</f>
        <v/>
      </c>
      <c r="X4" s="8">
        <f>W4+(((((((((Inputs!$E$3*(1+Inputs!$E$4)^(18-1))*(Inputs!$E$5*$C4))*Inputs!$E$6)+((Inputs!$E$7*(1+Inputs!$E$8)^(18-1))*Inputs!$E$9)+(Inputs!$E$11*(1+Inputs!$E$12)^(18-1))+(IF(18&lt;Inputs!$E$13,0,Inputs!$E$14*(1+Inputs!$E$15)^(18-Inputs!$E$13)*Inputs!$E$16))))-((((((((Inputs!$E$3*(1+Inputs!$E$4)^(18-1))*(Inputs!$E$5*$C4))*Inputs!$E$6)+((Inputs!$E$7*(1+Inputs!$E$8)^(18-1))*Inputs!$E$9)+(Inputs!$E$11*(1+Inputs!$E$12)^(18-1))+(IF(18&lt;Inputs!$E$13,0,Inputs!$E$14*(1+Inputs!$E$15)^(18-Inputs!$E$13)*Inputs!$E$16))))*Inputs!$E$26+((((Inputs!$E$3*(1+Inputs!$E$4)^(18-1))*(Inputs!$E$5*$C4))*Inputs!$E$6)+((Inputs!$E$7*(1+Inputs!$E$8)^(18-1))*Inputs!$E$9)+(IF(18&lt;Inputs!$E$13,0,Inputs!$E$14*(1+Inputs!$E$15)^(18-Inputs!$E$13)*Inputs!$E$16)))*Inputs!$E$27+(Inputs!$E$3*(1+Inputs!$E$4)^(18-1))*Inputs!$E$30))+(((Inputs!$E$7*(1+Inputs!$E$8)^(18-1))*Inputs!$E$10))+(((((((Inputs!$E$3*(1+Inputs!$E$4)^(18-1))*(Inputs!$E$5*$C4))*Inputs!$E$6)+((Inputs!$E$7*(1+Inputs!$E$8)^(18-1))*Inputs!$E$9)+(Inputs!$E$11*(1+Inputs!$E$12)^(18-1))+(IF(18&lt;Inputs!$E$13,0,Inputs!$E$14*(1+Inputs!$E$15)^(18-Inputs!$E$13)*Inputs!$E$16))))*Inputs!$E$29))+((Inputs!$E$19+Inputs!$E$20+Inputs!$E$21+Inputs!$E$22+Inputs!$E$23))+(IF(AND(Inputs!$E$24&gt;0,18=Inputs!$E$24),Inputs!$E$25,0))+(MAX((((((((Inputs!$E$3*(1+Inputs!$E$4)^(18-1))*(Inputs!$E$5*$C4))*Inputs!$E$6)+((Inputs!$E$7*(1+Inputs!$E$8)^(18-1))*Inputs!$E$9)+(Inputs!$E$11*(1+Inputs!$E$12)^(18-1))+(IF(18&lt;Inputs!$E$13,0,Inputs!$E$14*(1+Inputs!$E$15)^(18-Inputs!$E$13)*Inputs!$E$16))))-(((((((Inputs!$E$3*(1+Inputs!$E$4)^(18-1))*(Inputs!$E$5*$C4))*Inputs!$E$6)+((Inputs!$E$7*(1+Inputs!$E$8)^(18-1))*Inputs!$E$9)+(Inputs!$E$11*(1+Inputs!$E$12)^(18-1))+(IF(18&lt;Inputs!$E$13,0,Inputs!$E$14*(1+Inputs!$E$15)^(18-Inputs!$E$13)*Inputs!$E$16))))*Inputs!$E$26+((((Inputs!$E$3*(1+Inputs!$E$4)^(18-1))*(Inputs!$E$5*$C4))*Inputs!$E$6)+((Inputs!$E$7*(1+Inputs!$E$8)^(18-1))*Inputs!$E$9)+(IF(18&lt;Inputs!$E$13,0,Inputs!$E$14*(1+Inputs!$E$15)^(18-Inputs!$E$13)*Inputs!$E$16)))*Inputs!$E$27+(Inputs!$E$3*(1+Inputs!$E$4)^(18-1))*Inputs!$E$30))-(((Inputs!$E$7*(1+Inputs!$E$8)^(18-1))*Inputs!$E$10))-(((((((Inputs!$E$3*(1+Inputs!$E$4)^(18-1))*(Inputs!$E$5*$C4))*Inputs!$E$6)+((Inputs!$E$7*(1+Inputs!$E$8)^(18-1))*Inputs!$E$9)+(Inputs!$E$11*(1+Inputs!$E$12)^(18-1))+(IF(18&lt;Inputs!$E$13,0,Inputs!$E$14*(1+Inputs!$E$15)^(18-Inputs!$E$13)*Inputs!$E$16))))*Inputs!$E$29))-((Inputs!$E$19+Inputs!$E$20+Inputs!$E$21+Inputs!$E$22+Inputs!$E$23))-(IF(AND(Inputs!$E$24&gt;0,18=Inputs!$E$24),Inputs!$E$25,0)))),0)*Inputs!$E$28))))+(IF(AND(Inputs!$E$17&gt;0,18=Inputs!$E$17),Inputs!$E$18,0))))</f>
        <v/>
      </c>
      <c r="Y4" s="8">
        <f>X4+(((((((((Inputs!$E$3*(1+Inputs!$E$4)^(19-1))*(Inputs!$E$5*$C4))*Inputs!$E$6)+((Inputs!$E$7*(1+Inputs!$E$8)^(19-1))*Inputs!$E$9)+(Inputs!$E$11*(1+Inputs!$E$12)^(19-1))+(IF(19&lt;Inputs!$E$13,0,Inputs!$E$14*(1+Inputs!$E$15)^(19-Inputs!$E$13)*Inputs!$E$16))))-((((((((Inputs!$E$3*(1+Inputs!$E$4)^(19-1))*(Inputs!$E$5*$C4))*Inputs!$E$6)+((Inputs!$E$7*(1+Inputs!$E$8)^(19-1))*Inputs!$E$9)+(Inputs!$E$11*(1+Inputs!$E$12)^(19-1))+(IF(19&lt;Inputs!$E$13,0,Inputs!$E$14*(1+Inputs!$E$15)^(19-Inputs!$E$13)*Inputs!$E$16))))*Inputs!$E$26+((((Inputs!$E$3*(1+Inputs!$E$4)^(19-1))*(Inputs!$E$5*$C4))*Inputs!$E$6)+((Inputs!$E$7*(1+Inputs!$E$8)^(19-1))*Inputs!$E$9)+(IF(19&lt;Inputs!$E$13,0,Inputs!$E$14*(1+Inputs!$E$15)^(19-Inputs!$E$13)*Inputs!$E$16)))*Inputs!$E$27+(Inputs!$E$3*(1+Inputs!$E$4)^(19-1))*Inputs!$E$30))+(((Inputs!$E$7*(1+Inputs!$E$8)^(19-1))*Inputs!$E$10))+(((((((Inputs!$E$3*(1+Inputs!$E$4)^(19-1))*(Inputs!$E$5*$C4))*Inputs!$E$6)+((Inputs!$E$7*(1+Inputs!$E$8)^(19-1))*Inputs!$E$9)+(Inputs!$E$11*(1+Inputs!$E$12)^(19-1))+(IF(19&lt;Inputs!$E$13,0,Inputs!$E$14*(1+Inputs!$E$15)^(19-Inputs!$E$13)*Inputs!$E$16))))*Inputs!$E$29))+((Inputs!$E$19+Inputs!$E$20+Inputs!$E$21+Inputs!$E$22+Inputs!$E$23))+(IF(AND(Inputs!$E$24&gt;0,19=Inputs!$E$24),Inputs!$E$25,0))+(MAX((((((((Inputs!$E$3*(1+Inputs!$E$4)^(19-1))*(Inputs!$E$5*$C4))*Inputs!$E$6)+((Inputs!$E$7*(1+Inputs!$E$8)^(19-1))*Inputs!$E$9)+(Inputs!$E$11*(1+Inputs!$E$12)^(19-1))+(IF(19&lt;Inputs!$E$13,0,Inputs!$E$14*(1+Inputs!$E$15)^(19-Inputs!$E$13)*Inputs!$E$16))))-(((((((Inputs!$E$3*(1+Inputs!$E$4)^(19-1))*(Inputs!$E$5*$C4))*Inputs!$E$6)+((Inputs!$E$7*(1+Inputs!$E$8)^(19-1))*Inputs!$E$9)+(Inputs!$E$11*(1+Inputs!$E$12)^(19-1))+(IF(19&lt;Inputs!$E$13,0,Inputs!$E$14*(1+Inputs!$E$15)^(19-Inputs!$E$13)*Inputs!$E$16))))*Inputs!$E$26+((((Inputs!$E$3*(1+Inputs!$E$4)^(19-1))*(Inputs!$E$5*$C4))*Inputs!$E$6)+((Inputs!$E$7*(1+Inputs!$E$8)^(19-1))*Inputs!$E$9)+(IF(19&lt;Inputs!$E$13,0,Inputs!$E$14*(1+Inputs!$E$15)^(19-Inputs!$E$13)*Inputs!$E$16)))*Inputs!$E$27+(Inputs!$E$3*(1+Inputs!$E$4)^(19-1))*Inputs!$E$30))-(((Inputs!$E$7*(1+Inputs!$E$8)^(19-1))*Inputs!$E$10))-(((((((Inputs!$E$3*(1+Inputs!$E$4)^(19-1))*(Inputs!$E$5*$C4))*Inputs!$E$6)+((Inputs!$E$7*(1+Inputs!$E$8)^(19-1))*Inputs!$E$9)+(Inputs!$E$11*(1+Inputs!$E$12)^(19-1))+(IF(19&lt;Inputs!$E$13,0,Inputs!$E$14*(1+Inputs!$E$15)^(19-Inputs!$E$13)*Inputs!$E$16))))*Inputs!$E$29))-((Inputs!$E$19+Inputs!$E$20+Inputs!$E$21+Inputs!$E$22+Inputs!$E$23))-(IF(AND(Inputs!$E$24&gt;0,19=Inputs!$E$24),Inputs!$E$25,0)))),0)*Inputs!$E$28))))+(IF(AND(Inputs!$E$17&gt;0,19=Inputs!$E$17),Inputs!$E$18,0))))</f>
        <v/>
      </c>
      <c r="Z4" s="8">
        <f>Y4+(((((((((Inputs!$E$3*(1+Inputs!$E$4)^(20-1))*(Inputs!$E$5*$C4))*Inputs!$E$6)+((Inputs!$E$7*(1+Inputs!$E$8)^(20-1))*Inputs!$E$9)+(Inputs!$E$11*(1+Inputs!$E$12)^(20-1))+(IF(20&lt;Inputs!$E$13,0,Inputs!$E$14*(1+Inputs!$E$15)^(20-Inputs!$E$13)*Inputs!$E$16))))-((((((((Inputs!$E$3*(1+Inputs!$E$4)^(20-1))*(Inputs!$E$5*$C4))*Inputs!$E$6)+((Inputs!$E$7*(1+Inputs!$E$8)^(20-1))*Inputs!$E$9)+(Inputs!$E$11*(1+Inputs!$E$12)^(20-1))+(IF(20&lt;Inputs!$E$13,0,Inputs!$E$14*(1+Inputs!$E$15)^(20-Inputs!$E$13)*Inputs!$E$16))))*Inputs!$E$26+((((Inputs!$E$3*(1+Inputs!$E$4)^(20-1))*(Inputs!$E$5*$C4))*Inputs!$E$6)+((Inputs!$E$7*(1+Inputs!$E$8)^(20-1))*Inputs!$E$9)+(IF(20&lt;Inputs!$E$13,0,Inputs!$E$14*(1+Inputs!$E$15)^(20-Inputs!$E$13)*Inputs!$E$16)))*Inputs!$E$27+(Inputs!$E$3*(1+Inputs!$E$4)^(20-1))*Inputs!$E$30))+(((Inputs!$E$7*(1+Inputs!$E$8)^(20-1))*Inputs!$E$10))+(((((((Inputs!$E$3*(1+Inputs!$E$4)^(20-1))*(Inputs!$E$5*$C4))*Inputs!$E$6)+((Inputs!$E$7*(1+Inputs!$E$8)^(20-1))*Inputs!$E$9)+(Inputs!$E$11*(1+Inputs!$E$12)^(20-1))+(IF(20&lt;Inputs!$E$13,0,Inputs!$E$14*(1+Inputs!$E$15)^(20-Inputs!$E$13)*Inputs!$E$16))))*Inputs!$E$29))+((Inputs!$E$19+Inputs!$E$20+Inputs!$E$21+Inputs!$E$22+Inputs!$E$23))+(IF(AND(Inputs!$E$24&gt;0,20=Inputs!$E$24),Inputs!$E$25,0))+(MAX((((((((Inputs!$E$3*(1+Inputs!$E$4)^(20-1))*(Inputs!$E$5*$C4))*Inputs!$E$6)+((Inputs!$E$7*(1+Inputs!$E$8)^(20-1))*Inputs!$E$9)+(Inputs!$E$11*(1+Inputs!$E$12)^(20-1))+(IF(20&lt;Inputs!$E$13,0,Inputs!$E$14*(1+Inputs!$E$15)^(20-Inputs!$E$13)*Inputs!$E$16))))-(((((((Inputs!$E$3*(1+Inputs!$E$4)^(20-1))*(Inputs!$E$5*$C4))*Inputs!$E$6)+((Inputs!$E$7*(1+Inputs!$E$8)^(20-1))*Inputs!$E$9)+(Inputs!$E$11*(1+Inputs!$E$12)^(20-1))+(IF(20&lt;Inputs!$E$13,0,Inputs!$E$14*(1+Inputs!$E$15)^(20-Inputs!$E$13)*Inputs!$E$16))))*Inputs!$E$26+((((Inputs!$E$3*(1+Inputs!$E$4)^(20-1))*(Inputs!$E$5*$C4))*Inputs!$E$6)+((Inputs!$E$7*(1+Inputs!$E$8)^(20-1))*Inputs!$E$9)+(IF(20&lt;Inputs!$E$13,0,Inputs!$E$14*(1+Inputs!$E$15)^(20-Inputs!$E$13)*Inputs!$E$16)))*Inputs!$E$27+(Inputs!$E$3*(1+Inputs!$E$4)^(20-1))*Inputs!$E$30))-(((Inputs!$E$7*(1+Inputs!$E$8)^(20-1))*Inputs!$E$10))-(((((((Inputs!$E$3*(1+Inputs!$E$4)^(20-1))*(Inputs!$E$5*$C4))*Inputs!$E$6)+((Inputs!$E$7*(1+Inputs!$E$8)^(20-1))*Inputs!$E$9)+(Inputs!$E$11*(1+Inputs!$E$12)^(20-1))+(IF(20&lt;Inputs!$E$13,0,Inputs!$E$14*(1+Inputs!$E$15)^(20-Inputs!$E$13)*Inputs!$E$16))))*Inputs!$E$29))-((Inputs!$E$19+Inputs!$E$20+Inputs!$E$21+Inputs!$E$22+Inputs!$E$23))-(IF(AND(Inputs!$E$24&gt;0,20=Inputs!$E$24),Inputs!$E$25,0)))),0)*Inputs!$E$28))))+(IF(AND(Inputs!$E$17&gt;0,20=Inputs!$E$17),Inputs!$E$18,0))))</f>
        <v/>
      </c>
      <c r="AA4" s="8">
        <f>Z4+(((((((((Inputs!$E$3*(1+Inputs!$E$4)^(21-1))*(Inputs!$E$5*$C4))*Inputs!$E$6)+((Inputs!$E$7*(1+Inputs!$E$8)^(21-1))*Inputs!$E$9)+(Inputs!$E$11*(1+Inputs!$E$12)^(21-1))+(IF(21&lt;Inputs!$E$13,0,Inputs!$E$14*(1+Inputs!$E$15)^(21-Inputs!$E$13)*Inputs!$E$16))))-((((((((Inputs!$E$3*(1+Inputs!$E$4)^(21-1))*(Inputs!$E$5*$C4))*Inputs!$E$6)+((Inputs!$E$7*(1+Inputs!$E$8)^(21-1))*Inputs!$E$9)+(Inputs!$E$11*(1+Inputs!$E$12)^(21-1))+(IF(21&lt;Inputs!$E$13,0,Inputs!$E$14*(1+Inputs!$E$15)^(21-Inputs!$E$13)*Inputs!$E$16))))*Inputs!$E$26+((((Inputs!$E$3*(1+Inputs!$E$4)^(21-1))*(Inputs!$E$5*$C4))*Inputs!$E$6)+((Inputs!$E$7*(1+Inputs!$E$8)^(21-1))*Inputs!$E$9)+(IF(21&lt;Inputs!$E$13,0,Inputs!$E$14*(1+Inputs!$E$15)^(21-Inputs!$E$13)*Inputs!$E$16)))*Inputs!$E$27+(Inputs!$E$3*(1+Inputs!$E$4)^(21-1))*Inputs!$E$30))+(((Inputs!$E$7*(1+Inputs!$E$8)^(21-1))*Inputs!$E$10))+(((((((Inputs!$E$3*(1+Inputs!$E$4)^(21-1))*(Inputs!$E$5*$C4))*Inputs!$E$6)+((Inputs!$E$7*(1+Inputs!$E$8)^(21-1))*Inputs!$E$9)+(Inputs!$E$11*(1+Inputs!$E$12)^(21-1))+(IF(21&lt;Inputs!$E$13,0,Inputs!$E$14*(1+Inputs!$E$15)^(21-Inputs!$E$13)*Inputs!$E$16))))*Inputs!$E$29))+((Inputs!$E$19+Inputs!$E$20+Inputs!$E$21+Inputs!$E$22+Inputs!$E$23))+(IF(AND(Inputs!$E$24&gt;0,21=Inputs!$E$24),Inputs!$E$25,0))+(MAX((((((((Inputs!$E$3*(1+Inputs!$E$4)^(21-1))*(Inputs!$E$5*$C4))*Inputs!$E$6)+((Inputs!$E$7*(1+Inputs!$E$8)^(21-1))*Inputs!$E$9)+(Inputs!$E$11*(1+Inputs!$E$12)^(21-1))+(IF(21&lt;Inputs!$E$13,0,Inputs!$E$14*(1+Inputs!$E$15)^(21-Inputs!$E$13)*Inputs!$E$16))))-(((((((Inputs!$E$3*(1+Inputs!$E$4)^(21-1))*(Inputs!$E$5*$C4))*Inputs!$E$6)+((Inputs!$E$7*(1+Inputs!$E$8)^(21-1))*Inputs!$E$9)+(Inputs!$E$11*(1+Inputs!$E$12)^(21-1))+(IF(21&lt;Inputs!$E$13,0,Inputs!$E$14*(1+Inputs!$E$15)^(21-Inputs!$E$13)*Inputs!$E$16))))*Inputs!$E$26+((((Inputs!$E$3*(1+Inputs!$E$4)^(21-1))*(Inputs!$E$5*$C4))*Inputs!$E$6)+((Inputs!$E$7*(1+Inputs!$E$8)^(21-1))*Inputs!$E$9)+(IF(21&lt;Inputs!$E$13,0,Inputs!$E$14*(1+Inputs!$E$15)^(21-Inputs!$E$13)*Inputs!$E$16)))*Inputs!$E$27+(Inputs!$E$3*(1+Inputs!$E$4)^(21-1))*Inputs!$E$30))-(((Inputs!$E$7*(1+Inputs!$E$8)^(21-1))*Inputs!$E$10))-(((((((Inputs!$E$3*(1+Inputs!$E$4)^(21-1))*(Inputs!$E$5*$C4))*Inputs!$E$6)+((Inputs!$E$7*(1+Inputs!$E$8)^(21-1))*Inputs!$E$9)+(Inputs!$E$11*(1+Inputs!$E$12)^(21-1))+(IF(21&lt;Inputs!$E$13,0,Inputs!$E$14*(1+Inputs!$E$15)^(21-Inputs!$E$13)*Inputs!$E$16))))*Inputs!$E$29))-((Inputs!$E$19+Inputs!$E$20+Inputs!$E$21+Inputs!$E$22+Inputs!$E$23))-(IF(AND(Inputs!$E$24&gt;0,21=Inputs!$E$24),Inputs!$E$25,0)))),0)*Inputs!$E$28))))+(IF(AND(Inputs!$E$17&gt;0,21=Inputs!$E$17),Inputs!$E$18,0))))</f>
        <v/>
      </c>
      <c r="AB4" s="8">
        <f>AA4+(((((((((Inputs!$E$3*(1+Inputs!$E$4)^(22-1))*(Inputs!$E$5*$C4))*Inputs!$E$6)+((Inputs!$E$7*(1+Inputs!$E$8)^(22-1))*Inputs!$E$9)+(Inputs!$E$11*(1+Inputs!$E$12)^(22-1))+(IF(22&lt;Inputs!$E$13,0,Inputs!$E$14*(1+Inputs!$E$15)^(22-Inputs!$E$13)*Inputs!$E$16))))-((((((((Inputs!$E$3*(1+Inputs!$E$4)^(22-1))*(Inputs!$E$5*$C4))*Inputs!$E$6)+((Inputs!$E$7*(1+Inputs!$E$8)^(22-1))*Inputs!$E$9)+(Inputs!$E$11*(1+Inputs!$E$12)^(22-1))+(IF(22&lt;Inputs!$E$13,0,Inputs!$E$14*(1+Inputs!$E$15)^(22-Inputs!$E$13)*Inputs!$E$16))))*Inputs!$E$26+((((Inputs!$E$3*(1+Inputs!$E$4)^(22-1))*(Inputs!$E$5*$C4))*Inputs!$E$6)+((Inputs!$E$7*(1+Inputs!$E$8)^(22-1))*Inputs!$E$9)+(IF(22&lt;Inputs!$E$13,0,Inputs!$E$14*(1+Inputs!$E$15)^(22-Inputs!$E$13)*Inputs!$E$16)))*Inputs!$E$27+(Inputs!$E$3*(1+Inputs!$E$4)^(22-1))*Inputs!$E$30))+(((Inputs!$E$7*(1+Inputs!$E$8)^(22-1))*Inputs!$E$10))+(((((((Inputs!$E$3*(1+Inputs!$E$4)^(22-1))*(Inputs!$E$5*$C4))*Inputs!$E$6)+((Inputs!$E$7*(1+Inputs!$E$8)^(22-1))*Inputs!$E$9)+(Inputs!$E$11*(1+Inputs!$E$12)^(22-1))+(IF(22&lt;Inputs!$E$13,0,Inputs!$E$14*(1+Inputs!$E$15)^(22-Inputs!$E$13)*Inputs!$E$16))))*Inputs!$E$29))+((Inputs!$E$19+Inputs!$E$20+Inputs!$E$21+Inputs!$E$22+Inputs!$E$23))+(IF(AND(Inputs!$E$24&gt;0,22=Inputs!$E$24),Inputs!$E$25,0))+(MAX((((((((Inputs!$E$3*(1+Inputs!$E$4)^(22-1))*(Inputs!$E$5*$C4))*Inputs!$E$6)+((Inputs!$E$7*(1+Inputs!$E$8)^(22-1))*Inputs!$E$9)+(Inputs!$E$11*(1+Inputs!$E$12)^(22-1))+(IF(22&lt;Inputs!$E$13,0,Inputs!$E$14*(1+Inputs!$E$15)^(22-Inputs!$E$13)*Inputs!$E$16))))-(((((((Inputs!$E$3*(1+Inputs!$E$4)^(22-1))*(Inputs!$E$5*$C4))*Inputs!$E$6)+((Inputs!$E$7*(1+Inputs!$E$8)^(22-1))*Inputs!$E$9)+(Inputs!$E$11*(1+Inputs!$E$12)^(22-1))+(IF(22&lt;Inputs!$E$13,0,Inputs!$E$14*(1+Inputs!$E$15)^(22-Inputs!$E$13)*Inputs!$E$16))))*Inputs!$E$26+((((Inputs!$E$3*(1+Inputs!$E$4)^(22-1))*(Inputs!$E$5*$C4))*Inputs!$E$6)+((Inputs!$E$7*(1+Inputs!$E$8)^(22-1))*Inputs!$E$9)+(IF(22&lt;Inputs!$E$13,0,Inputs!$E$14*(1+Inputs!$E$15)^(22-Inputs!$E$13)*Inputs!$E$16)))*Inputs!$E$27+(Inputs!$E$3*(1+Inputs!$E$4)^(22-1))*Inputs!$E$30))-(((Inputs!$E$7*(1+Inputs!$E$8)^(22-1))*Inputs!$E$10))-(((((((Inputs!$E$3*(1+Inputs!$E$4)^(22-1))*(Inputs!$E$5*$C4))*Inputs!$E$6)+((Inputs!$E$7*(1+Inputs!$E$8)^(22-1))*Inputs!$E$9)+(Inputs!$E$11*(1+Inputs!$E$12)^(22-1))+(IF(22&lt;Inputs!$E$13,0,Inputs!$E$14*(1+Inputs!$E$15)^(22-Inputs!$E$13)*Inputs!$E$16))))*Inputs!$E$29))-((Inputs!$E$19+Inputs!$E$20+Inputs!$E$21+Inputs!$E$22+Inputs!$E$23))-(IF(AND(Inputs!$E$24&gt;0,22=Inputs!$E$24),Inputs!$E$25,0)))),0)*Inputs!$E$28))))+(IF(AND(Inputs!$E$17&gt;0,22=Inputs!$E$17),Inputs!$E$18,0))))</f>
        <v/>
      </c>
      <c r="AC4" s="8">
        <f>AB4+(((((((((Inputs!$E$3*(1+Inputs!$E$4)^(23-1))*(Inputs!$E$5*$C4))*Inputs!$E$6)+((Inputs!$E$7*(1+Inputs!$E$8)^(23-1))*Inputs!$E$9)+(Inputs!$E$11*(1+Inputs!$E$12)^(23-1))+(IF(23&lt;Inputs!$E$13,0,Inputs!$E$14*(1+Inputs!$E$15)^(23-Inputs!$E$13)*Inputs!$E$16))))-((((((((Inputs!$E$3*(1+Inputs!$E$4)^(23-1))*(Inputs!$E$5*$C4))*Inputs!$E$6)+((Inputs!$E$7*(1+Inputs!$E$8)^(23-1))*Inputs!$E$9)+(Inputs!$E$11*(1+Inputs!$E$12)^(23-1))+(IF(23&lt;Inputs!$E$13,0,Inputs!$E$14*(1+Inputs!$E$15)^(23-Inputs!$E$13)*Inputs!$E$16))))*Inputs!$E$26+((((Inputs!$E$3*(1+Inputs!$E$4)^(23-1))*(Inputs!$E$5*$C4))*Inputs!$E$6)+((Inputs!$E$7*(1+Inputs!$E$8)^(23-1))*Inputs!$E$9)+(IF(23&lt;Inputs!$E$13,0,Inputs!$E$14*(1+Inputs!$E$15)^(23-Inputs!$E$13)*Inputs!$E$16)))*Inputs!$E$27+(Inputs!$E$3*(1+Inputs!$E$4)^(23-1))*Inputs!$E$30))+(((Inputs!$E$7*(1+Inputs!$E$8)^(23-1))*Inputs!$E$10))+(((((((Inputs!$E$3*(1+Inputs!$E$4)^(23-1))*(Inputs!$E$5*$C4))*Inputs!$E$6)+((Inputs!$E$7*(1+Inputs!$E$8)^(23-1))*Inputs!$E$9)+(Inputs!$E$11*(1+Inputs!$E$12)^(23-1))+(IF(23&lt;Inputs!$E$13,0,Inputs!$E$14*(1+Inputs!$E$15)^(23-Inputs!$E$13)*Inputs!$E$16))))*Inputs!$E$29))+((Inputs!$E$19+Inputs!$E$20+Inputs!$E$21+Inputs!$E$22+Inputs!$E$23))+(IF(AND(Inputs!$E$24&gt;0,23=Inputs!$E$24),Inputs!$E$25,0))+(MAX((((((((Inputs!$E$3*(1+Inputs!$E$4)^(23-1))*(Inputs!$E$5*$C4))*Inputs!$E$6)+((Inputs!$E$7*(1+Inputs!$E$8)^(23-1))*Inputs!$E$9)+(Inputs!$E$11*(1+Inputs!$E$12)^(23-1))+(IF(23&lt;Inputs!$E$13,0,Inputs!$E$14*(1+Inputs!$E$15)^(23-Inputs!$E$13)*Inputs!$E$16))))-(((((((Inputs!$E$3*(1+Inputs!$E$4)^(23-1))*(Inputs!$E$5*$C4))*Inputs!$E$6)+((Inputs!$E$7*(1+Inputs!$E$8)^(23-1))*Inputs!$E$9)+(Inputs!$E$11*(1+Inputs!$E$12)^(23-1))+(IF(23&lt;Inputs!$E$13,0,Inputs!$E$14*(1+Inputs!$E$15)^(23-Inputs!$E$13)*Inputs!$E$16))))*Inputs!$E$26+((((Inputs!$E$3*(1+Inputs!$E$4)^(23-1))*(Inputs!$E$5*$C4))*Inputs!$E$6)+((Inputs!$E$7*(1+Inputs!$E$8)^(23-1))*Inputs!$E$9)+(IF(23&lt;Inputs!$E$13,0,Inputs!$E$14*(1+Inputs!$E$15)^(23-Inputs!$E$13)*Inputs!$E$16)))*Inputs!$E$27+(Inputs!$E$3*(1+Inputs!$E$4)^(23-1))*Inputs!$E$30))-(((Inputs!$E$7*(1+Inputs!$E$8)^(23-1))*Inputs!$E$10))-(((((((Inputs!$E$3*(1+Inputs!$E$4)^(23-1))*(Inputs!$E$5*$C4))*Inputs!$E$6)+((Inputs!$E$7*(1+Inputs!$E$8)^(23-1))*Inputs!$E$9)+(Inputs!$E$11*(1+Inputs!$E$12)^(23-1))+(IF(23&lt;Inputs!$E$13,0,Inputs!$E$14*(1+Inputs!$E$15)^(23-Inputs!$E$13)*Inputs!$E$16))))*Inputs!$E$29))-((Inputs!$E$19+Inputs!$E$20+Inputs!$E$21+Inputs!$E$22+Inputs!$E$23))-(IF(AND(Inputs!$E$24&gt;0,23=Inputs!$E$24),Inputs!$E$25,0)))),0)*Inputs!$E$28))))+(IF(AND(Inputs!$E$17&gt;0,23=Inputs!$E$17),Inputs!$E$18,0))))</f>
        <v/>
      </c>
      <c r="AD4" s="8">
        <f>AC4+(((((((((Inputs!$E$3*(1+Inputs!$E$4)^(24-1))*(Inputs!$E$5*$C4))*Inputs!$E$6)+((Inputs!$E$7*(1+Inputs!$E$8)^(24-1))*Inputs!$E$9)+(Inputs!$E$11*(1+Inputs!$E$12)^(24-1))+(IF(24&lt;Inputs!$E$13,0,Inputs!$E$14*(1+Inputs!$E$15)^(24-Inputs!$E$13)*Inputs!$E$16))))-((((((((Inputs!$E$3*(1+Inputs!$E$4)^(24-1))*(Inputs!$E$5*$C4))*Inputs!$E$6)+((Inputs!$E$7*(1+Inputs!$E$8)^(24-1))*Inputs!$E$9)+(Inputs!$E$11*(1+Inputs!$E$12)^(24-1))+(IF(24&lt;Inputs!$E$13,0,Inputs!$E$14*(1+Inputs!$E$15)^(24-Inputs!$E$13)*Inputs!$E$16))))*Inputs!$E$26+((((Inputs!$E$3*(1+Inputs!$E$4)^(24-1))*(Inputs!$E$5*$C4))*Inputs!$E$6)+((Inputs!$E$7*(1+Inputs!$E$8)^(24-1))*Inputs!$E$9)+(IF(24&lt;Inputs!$E$13,0,Inputs!$E$14*(1+Inputs!$E$15)^(24-Inputs!$E$13)*Inputs!$E$16)))*Inputs!$E$27+(Inputs!$E$3*(1+Inputs!$E$4)^(24-1))*Inputs!$E$30))+(((Inputs!$E$7*(1+Inputs!$E$8)^(24-1))*Inputs!$E$10))+(((((((Inputs!$E$3*(1+Inputs!$E$4)^(24-1))*(Inputs!$E$5*$C4))*Inputs!$E$6)+((Inputs!$E$7*(1+Inputs!$E$8)^(24-1))*Inputs!$E$9)+(Inputs!$E$11*(1+Inputs!$E$12)^(24-1))+(IF(24&lt;Inputs!$E$13,0,Inputs!$E$14*(1+Inputs!$E$15)^(24-Inputs!$E$13)*Inputs!$E$16))))*Inputs!$E$29))+((Inputs!$E$19+Inputs!$E$20+Inputs!$E$21+Inputs!$E$22+Inputs!$E$23))+(IF(AND(Inputs!$E$24&gt;0,24=Inputs!$E$24),Inputs!$E$25,0))+(MAX((((((((Inputs!$E$3*(1+Inputs!$E$4)^(24-1))*(Inputs!$E$5*$C4))*Inputs!$E$6)+((Inputs!$E$7*(1+Inputs!$E$8)^(24-1))*Inputs!$E$9)+(Inputs!$E$11*(1+Inputs!$E$12)^(24-1))+(IF(24&lt;Inputs!$E$13,0,Inputs!$E$14*(1+Inputs!$E$15)^(24-Inputs!$E$13)*Inputs!$E$16))))-(((((((Inputs!$E$3*(1+Inputs!$E$4)^(24-1))*(Inputs!$E$5*$C4))*Inputs!$E$6)+((Inputs!$E$7*(1+Inputs!$E$8)^(24-1))*Inputs!$E$9)+(Inputs!$E$11*(1+Inputs!$E$12)^(24-1))+(IF(24&lt;Inputs!$E$13,0,Inputs!$E$14*(1+Inputs!$E$15)^(24-Inputs!$E$13)*Inputs!$E$16))))*Inputs!$E$26+((((Inputs!$E$3*(1+Inputs!$E$4)^(24-1))*(Inputs!$E$5*$C4))*Inputs!$E$6)+((Inputs!$E$7*(1+Inputs!$E$8)^(24-1))*Inputs!$E$9)+(IF(24&lt;Inputs!$E$13,0,Inputs!$E$14*(1+Inputs!$E$15)^(24-Inputs!$E$13)*Inputs!$E$16)))*Inputs!$E$27+(Inputs!$E$3*(1+Inputs!$E$4)^(24-1))*Inputs!$E$30))-(((Inputs!$E$7*(1+Inputs!$E$8)^(24-1))*Inputs!$E$10))-(((((((Inputs!$E$3*(1+Inputs!$E$4)^(24-1))*(Inputs!$E$5*$C4))*Inputs!$E$6)+((Inputs!$E$7*(1+Inputs!$E$8)^(24-1))*Inputs!$E$9)+(Inputs!$E$11*(1+Inputs!$E$12)^(24-1))+(IF(24&lt;Inputs!$E$13,0,Inputs!$E$14*(1+Inputs!$E$15)^(24-Inputs!$E$13)*Inputs!$E$16))))*Inputs!$E$29))-((Inputs!$E$19+Inputs!$E$20+Inputs!$E$21+Inputs!$E$22+Inputs!$E$23))-(IF(AND(Inputs!$E$24&gt;0,24=Inputs!$E$24),Inputs!$E$25,0)))),0)*Inputs!$E$28))))+(IF(AND(Inputs!$E$17&gt;0,24=Inputs!$E$17),Inputs!$E$18,0))))</f>
        <v/>
      </c>
      <c r="AE4" s="8">
        <f>AD4+(((((((((Inputs!$E$3*(1+Inputs!$E$4)^(25-1))*(Inputs!$E$5*$C4))*Inputs!$E$6)+((Inputs!$E$7*(1+Inputs!$E$8)^(25-1))*Inputs!$E$9)+(Inputs!$E$11*(1+Inputs!$E$12)^(25-1))+(IF(25&lt;Inputs!$E$13,0,Inputs!$E$14*(1+Inputs!$E$15)^(25-Inputs!$E$13)*Inputs!$E$16))))-((((((((Inputs!$E$3*(1+Inputs!$E$4)^(25-1))*(Inputs!$E$5*$C4))*Inputs!$E$6)+((Inputs!$E$7*(1+Inputs!$E$8)^(25-1))*Inputs!$E$9)+(Inputs!$E$11*(1+Inputs!$E$12)^(25-1))+(IF(25&lt;Inputs!$E$13,0,Inputs!$E$14*(1+Inputs!$E$15)^(25-Inputs!$E$13)*Inputs!$E$16))))*Inputs!$E$26+((((Inputs!$E$3*(1+Inputs!$E$4)^(25-1))*(Inputs!$E$5*$C4))*Inputs!$E$6)+((Inputs!$E$7*(1+Inputs!$E$8)^(25-1))*Inputs!$E$9)+(IF(25&lt;Inputs!$E$13,0,Inputs!$E$14*(1+Inputs!$E$15)^(25-Inputs!$E$13)*Inputs!$E$16)))*Inputs!$E$27+(Inputs!$E$3*(1+Inputs!$E$4)^(25-1))*Inputs!$E$30))+(((Inputs!$E$7*(1+Inputs!$E$8)^(25-1))*Inputs!$E$10))+(((((((Inputs!$E$3*(1+Inputs!$E$4)^(25-1))*(Inputs!$E$5*$C4))*Inputs!$E$6)+((Inputs!$E$7*(1+Inputs!$E$8)^(25-1))*Inputs!$E$9)+(Inputs!$E$11*(1+Inputs!$E$12)^(25-1))+(IF(25&lt;Inputs!$E$13,0,Inputs!$E$14*(1+Inputs!$E$15)^(25-Inputs!$E$13)*Inputs!$E$16))))*Inputs!$E$29))+((Inputs!$E$19+Inputs!$E$20+Inputs!$E$21+Inputs!$E$22+Inputs!$E$23))+(IF(AND(Inputs!$E$24&gt;0,25=Inputs!$E$24),Inputs!$E$25,0))+(MAX((((((((Inputs!$E$3*(1+Inputs!$E$4)^(25-1))*(Inputs!$E$5*$C4))*Inputs!$E$6)+((Inputs!$E$7*(1+Inputs!$E$8)^(25-1))*Inputs!$E$9)+(Inputs!$E$11*(1+Inputs!$E$12)^(25-1))+(IF(25&lt;Inputs!$E$13,0,Inputs!$E$14*(1+Inputs!$E$15)^(25-Inputs!$E$13)*Inputs!$E$16))))-(((((((Inputs!$E$3*(1+Inputs!$E$4)^(25-1))*(Inputs!$E$5*$C4))*Inputs!$E$6)+((Inputs!$E$7*(1+Inputs!$E$8)^(25-1))*Inputs!$E$9)+(Inputs!$E$11*(1+Inputs!$E$12)^(25-1))+(IF(25&lt;Inputs!$E$13,0,Inputs!$E$14*(1+Inputs!$E$15)^(25-Inputs!$E$13)*Inputs!$E$16))))*Inputs!$E$26+((((Inputs!$E$3*(1+Inputs!$E$4)^(25-1))*(Inputs!$E$5*$C4))*Inputs!$E$6)+((Inputs!$E$7*(1+Inputs!$E$8)^(25-1))*Inputs!$E$9)+(IF(25&lt;Inputs!$E$13,0,Inputs!$E$14*(1+Inputs!$E$15)^(25-Inputs!$E$13)*Inputs!$E$16)))*Inputs!$E$27+(Inputs!$E$3*(1+Inputs!$E$4)^(25-1))*Inputs!$E$30))-(((Inputs!$E$7*(1+Inputs!$E$8)^(25-1))*Inputs!$E$10))-(((((((Inputs!$E$3*(1+Inputs!$E$4)^(25-1))*(Inputs!$E$5*$C4))*Inputs!$E$6)+((Inputs!$E$7*(1+Inputs!$E$8)^(25-1))*Inputs!$E$9)+(Inputs!$E$11*(1+Inputs!$E$12)^(25-1))+(IF(25&lt;Inputs!$E$13,0,Inputs!$E$14*(1+Inputs!$E$15)^(25-Inputs!$E$13)*Inputs!$E$16))))*Inputs!$E$29))-((Inputs!$E$19+Inputs!$E$20+Inputs!$E$21+Inputs!$E$22+Inputs!$E$23))-(IF(AND(Inputs!$E$24&gt;0,25=Inputs!$E$24),Inputs!$E$25,0)))),0)*Inputs!$E$28))))+(IF(AND(Inputs!$E$17&gt;0,25=Inputs!$E$17),Inputs!$E$18,0))))</f>
        <v/>
      </c>
      <c r="AF4" s="8">
        <f>AE4+(((((((((Inputs!$E$3*(1+Inputs!$E$4)^(26-1))*(Inputs!$E$5*$C4))*Inputs!$E$6)+((Inputs!$E$7*(1+Inputs!$E$8)^(26-1))*Inputs!$E$9)+(Inputs!$E$11*(1+Inputs!$E$12)^(26-1))+(IF(26&lt;Inputs!$E$13,0,Inputs!$E$14*(1+Inputs!$E$15)^(26-Inputs!$E$13)*Inputs!$E$16))))-((((((((Inputs!$E$3*(1+Inputs!$E$4)^(26-1))*(Inputs!$E$5*$C4))*Inputs!$E$6)+((Inputs!$E$7*(1+Inputs!$E$8)^(26-1))*Inputs!$E$9)+(Inputs!$E$11*(1+Inputs!$E$12)^(26-1))+(IF(26&lt;Inputs!$E$13,0,Inputs!$E$14*(1+Inputs!$E$15)^(26-Inputs!$E$13)*Inputs!$E$16))))*Inputs!$E$26+((((Inputs!$E$3*(1+Inputs!$E$4)^(26-1))*(Inputs!$E$5*$C4))*Inputs!$E$6)+((Inputs!$E$7*(1+Inputs!$E$8)^(26-1))*Inputs!$E$9)+(IF(26&lt;Inputs!$E$13,0,Inputs!$E$14*(1+Inputs!$E$15)^(26-Inputs!$E$13)*Inputs!$E$16)))*Inputs!$E$27+(Inputs!$E$3*(1+Inputs!$E$4)^(26-1))*Inputs!$E$30))+(((Inputs!$E$7*(1+Inputs!$E$8)^(26-1))*Inputs!$E$10))+(((((((Inputs!$E$3*(1+Inputs!$E$4)^(26-1))*(Inputs!$E$5*$C4))*Inputs!$E$6)+((Inputs!$E$7*(1+Inputs!$E$8)^(26-1))*Inputs!$E$9)+(Inputs!$E$11*(1+Inputs!$E$12)^(26-1))+(IF(26&lt;Inputs!$E$13,0,Inputs!$E$14*(1+Inputs!$E$15)^(26-Inputs!$E$13)*Inputs!$E$16))))*Inputs!$E$29))+((Inputs!$E$19+Inputs!$E$20+Inputs!$E$21+Inputs!$E$22+Inputs!$E$23))+(IF(AND(Inputs!$E$24&gt;0,26=Inputs!$E$24),Inputs!$E$25,0))+(MAX((((((((Inputs!$E$3*(1+Inputs!$E$4)^(26-1))*(Inputs!$E$5*$C4))*Inputs!$E$6)+((Inputs!$E$7*(1+Inputs!$E$8)^(26-1))*Inputs!$E$9)+(Inputs!$E$11*(1+Inputs!$E$12)^(26-1))+(IF(26&lt;Inputs!$E$13,0,Inputs!$E$14*(1+Inputs!$E$15)^(26-Inputs!$E$13)*Inputs!$E$16))))-(((((((Inputs!$E$3*(1+Inputs!$E$4)^(26-1))*(Inputs!$E$5*$C4))*Inputs!$E$6)+((Inputs!$E$7*(1+Inputs!$E$8)^(26-1))*Inputs!$E$9)+(Inputs!$E$11*(1+Inputs!$E$12)^(26-1))+(IF(26&lt;Inputs!$E$13,0,Inputs!$E$14*(1+Inputs!$E$15)^(26-Inputs!$E$13)*Inputs!$E$16))))*Inputs!$E$26+((((Inputs!$E$3*(1+Inputs!$E$4)^(26-1))*(Inputs!$E$5*$C4))*Inputs!$E$6)+((Inputs!$E$7*(1+Inputs!$E$8)^(26-1))*Inputs!$E$9)+(IF(26&lt;Inputs!$E$13,0,Inputs!$E$14*(1+Inputs!$E$15)^(26-Inputs!$E$13)*Inputs!$E$16)))*Inputs!$E$27+(Inputs!$E$3*(1+Inputs!$E$4)^(26-1))*Inputs!$E$30))-(((Inputs!$E$7*(1+Inputs!$E$8)^(26-1))*Inputs!$E$10))-(((((((Inputs!$E$3*(1+Inputs!$E$4)^(26-1))*(Inputs!$E$5*$C4))*Inputs!$E$6)+((Inputs!$E$7*(1+Inputs!$E$8)^(26-1))*Inputs!$E$9)+(Inputs!$E$11*(1+Inputs!$E$12)^(26-1))+(IF(26&lt;Inputs!$E$13,0,Inputs!$E$14*(1+Inputs!$E$15)^(26-Inputs!$E$13)*Inputs!$E$16))))*Inputs!$E$29))-((Inputs!$E$19+Inputs!$E$20+Inputs!$E$21+Inputs!$E$22+Inputs!$E$23))-(IF(AND(Inputs!$E$24&gt;0,26=Inputs!$E$24),Inputs!$E$25,0)))),0)*Inputs!$E$28))))+(IF(AND(Inputs!$E$17&gt;0,26=Inputs!$E$17),Inputs!$E$18,0))))</f>
        <v/>
      </c>
      <c r="AG4" s="8">
        <f>AF4+(((((((((Inputs!$E$3*(1+Inputs!$E$4)^(27-1))*(Inputs!$E$5*$C4))*Inputs!$E$6)+((Inputs!$E$7*(1+Inputs!$E$8)^(27-1))*Inputs!$E$9)+(Inputs!$E$11*(1+Inputs!$E$12)^(27-1))+(IF(27&lt;Inputs!$E$13,0,Inputs!$E$14*(1+Inputs!$E$15)^(27-Inputs!$E$13)*Inputs!$E$16))))-((((((((Inputs!$E$3*(1+Inputs!$E$4)^(27-1))*(Inputs!$E$5*$C4))*Inputs!$E$6)+((Inputs!$E$7*(1+Inputs!$E$8)^(27-1))*Inputs!$E$9)+(Inputs!$E$11*(1+Inputs!$E$12)^(27-1))+(IF(27&lt;Inputs!$E$13,0,Inputs!$E$14*(1+Inputs!$E$15)^(27-Inputs!$E$13)*Inputs!$E$16))))*Inputs!$E$26+((((Inputs!$E$3*(1+Inputs!$E$4)^(27-1))*(Inputs!$E$5*$C4))*Inputs!$E$6)+((Inputs!$E$7*(1+Inputs!$E$8)^(27-1))*Inputs!$E$9)+(IF(27&lt;Inputs!$E$13,0,Inputs!$E$14*(1+Inputs!$E$15)^(27-Inputs!$E$13)*Inputs!$E$16)))*Inputs!$E$27+(Inputs!$E$3*(1+Inputs!$E$4)^(27-1))*Inputs!$E$30))+(((Inputs!$E$7*(1+Inputs!$E$8)^(27-1))*Inputs!$E$10))+(((((((Inputs!$E$3*(1+Inputs!$E$4)^(27-1))*(Inputs!$E$5*$C4))*Inputs!$E$6)+((Inputs!$E$7*(1+Inputs!$E$8)^(27-1))*Inputs!$E$9)+(Inputs!$E$11*(1+Inputs!$E$12)^(27-1))+(IF(27&lt;Inputs!$E$13,0,Inputs!$E$14*(1+Inputs!$E$15)^(27-Inputs!$E$13)*Inputs!$E$16))))*Inputs!$E$29))+((Inputs!$E$19+Inputs!$E$20+Inputs!$E$21+Inputs!$E$22+Inputs!$E$23))+(IF(AND(Inputs!$E$24&gt;0,27=Inputs!$E$24),Inputs!$E$25,0))+(MAX((((((((Inputs!$E$3*(1+Inputs!$E$4)^(27-1))*(Inputs!$E$5*$C4))*Inputs!$E$6)+((Inputs!$E$7*(1+Inputs!$E$8)^(27-1))*Inputs!$E$9)+(Inputs!$E$11*(1+Inputs!$E$12)^(27-1))+(IF(27&lt;Inputs!$E$13,0,Inputs!$E$14*(1+Inputs!$E$15)^(27-Inputs!$E$13)*Inputs!$E$16))))-(((((((Inputs!$E$3*(1+Inputs!$E$4)^(27-1))*(Inputs!$E$5*$C4))*Inputs!$E$6)+((Inputs!$E$7*(1+Inputs!$E$8)^(27-1))*Inputs!$E$9)+(Inputs!$E$11*(1+Inputs!$E$12)^(27-1))+(IF(27&lt;Inputs!$E$13,0,Inputs!$E$14*(1+Inputs!$E$15)^(27-Inputs!$E$13)*Inputs!$E$16))))*Inputs!$E$26+((((Inputs!$E$3*(1+Inputs!$E$4)^(27-1))*(Inputs!$E$5*$C4))*Inputs!$E$6)+((Inputs!$E$7*(1+Inputs!$E$8)^(27-1))*Inputs!$E$9)+(IF(27&lt;Inputs!$E$13,0,Inputs!$E$14*(1+Inputs!$E$15)^(27-Inputs!$E$13)*Inputs!$E$16)))*Inputs!$E$27+(Inputs!$E$3*(1+Inputs!$E$4)^(27-1))*Inputs!$E$30))-(((Inputs!$E$7*(1+Inputs!$E$8)^(27-1))*Inputs!$E$10))-(((((((Inputs!$E$3*(1+Inputs!$E$4)^(27-1))*(Inputs!$E$5*$C4))*Inputs!$E$6)+((Inputs!$E$7*(1+Inputs!$E$8)^(27-1))*Inputs!$E$9)+(Inputs!$E$11*(1+Inputs!$E$12)^(27-1))+(IF(27&lt;Inputs!$E$13,0,Inputs!$E$14*(1+Inputs!$E$15)^(27-Inputs!$E$13)*Inputs!$E$16))))*Inputs!$E$29))-((Inputs!$E$19+Inputs!$E$20+Inputs!$E$21+Inputs!$E$22+Inputs!$E$23))-(IF(AND(Inputs!$E$24&gt;0,27=Inputs!$E$24),Inputs!$E$25,0)))),0)*Inputs!$E$28))))+(IF(AND(Inputs!$E$17&gt;0,27=Inputs!$E$17),Inputs!$E$18,0))))</f>
        <v/>
      </c>
      <c r="AH4" s="8">
        <f>AG4+(((((((((Inputs!$E$3*(1+Inputs!$E$4)^(28-1))*(Inputs!$E$5*$C4))*Inputs!$E$6)+((Inputs!$E$7*(1+Inputs!$E$8)^(28-1))*Inputs!$E$9)+(Inputs!$E$11*(1+Inputs!$E$12)^(28-1))+(IF(28&lt;Inputs!$E$13,0,Inputs!$E$14*(1+Inputs!$E$15)^(28-Inputs!$E$13)*Inputs!$E$16))))-((((((((Inputs!$E$3*(1+Inputs!$E$4)^(28-1))*(Inputs!$E$5*$C4))*Inputs!$E$6)+((Inputs!$E$7*(1+Inputs!$E$8)^(28-1))*Inputs!$E$9)+(Inputs!$E$11*(1+Inputs!$E$12)^(28-1))+(IF(28&lt;Inputs!$E$13,0,Inputs!$E$14*(1+Inputs!$E$15)^(28-Inputs!$E$13)*Inputs!$E$16))))*Inputs!$E$26+((((Inputs!$E$3*(1+Inputs!$E$4)^(28-1))*(Inputs!$E$5*$C4))*Inputs!$E$6)+((Inputs!$E$7*(1+Inputs!$E$8)^(28-1))*Inputs!$E$9)+(IF(28&lt;Inputs!$E$13,0,Inputs!$E$14*(1+Inputs!$E$15)^(28-Inputs!$E$13)*Inputs!$E$16)))*Inputs!$E$27+(Inputs!$E$3*(1+Inputs!$E$4)^(28-1))*Inputs!$E$30))+(((Inputs!$E$7*(1+Inputs!$E$8)^(28-1))*Inputs!$E$10))+(((((((Inputs!$E$3*(1+Inputs!$E$4)^(28-1))*(Inputs!$E$5*$C4))*Inputs!$E$6)+((Inputs!$E$7*(1+Inputs!$E$8)^(28-1))*Inputs!$E$9)+(Inputs!$E$11*(1+Inputs!$E$12)^(28-1))+(IF(28&lt;Inputs!$E$13,0,Inputs!$E$14*(1+Inputs!$E$15)^(28-Inputs!$E$13)*Inputs!$E$16))))*Inputs!$E$29))+((Inputs!$E$19+Inputs!$E$20+Inputs!$E$21+Inputs!$E$22+Inputs!$E$23))+(IF(AND(Inputs!$E$24&gt;0,28=Inputs!$E$24),Inputs!$E$25,0))+(MAX((((((((Inputs!$E$3*(1+Inputs!$E$4)^(28-1))*(Inputs!$E$5*$C4))*Inputs!$E$6)+((Inputs!$E$7*(1+Inputs!$E$8)^(28-1))*Inputs!$E$9)+(Inputs!$E$11*(1+Inputs!$E$12)^(28-1))+(IF(28&lt;Inputs!$E$13,0,Inputs!$E$14*(1+Inputs!$E$15)^(28-Inputs!$E$13)*Inputs!$E$16))))-(((((((Inputs!$E$3*(1+Inputs!$E$4)^(28-1))*(Inputs!$E$5*$C4))*Inputs!$E$6)+((Inputs!$E$7*(1+Inputs!$E$8)^(28-1))*Inputs!$E$9)+(Inputs!$E$11*(1+Inputs!$E$12)^(28-1))+(IF(28&lt;Inputs!$E$13,0,Inputs!$E$14*(1+Inputs!$E$15)^(28-Inputs!$E$13)*Inputs!$E$16))))*Inputs!$E$26+((((Inputs!$E$3*(1+Inputs!$E$4)^(28-1))*(Inputs!$E$5*$C4))*Inputs!$E$6)+((Inputs!$E$7*(1+Inputs!$E$8)^(28-1))*Inputs!$E$9)+(IF(28&lt;Inputs!$E$13,0,Inputs!$E$14*(1+Inputs!$E$15)^(28-Inputs!$E$13)*Inputs!$E$16)))*Inputs!$E$27+(Inputs!$E$3*(1+Inputs!$E$4)^(28-1))*Inputs!$E$30))-(((Inputs!$E$7*(1+Inputs!$E$8)^(28-1))*Inputs!$E$10))-(((((((Inputs!$E$3*(1+Inputs!$E$4)^(28-1))*(Inputs!$E$5*$C4))*Inputs!$E$6)+((Inputs!$E$7*(1+Inputs!$E$8)^(28-1))*Inputs!$E$9)+(Inputs!$E$11*(1+Inputs!$E$12)^(28-1))+(IF(28&lt;Inputs!$E$13,0,Inputs!$E$14*(1+Inputs!$E$15)^(28-Inputs!$E$13)*Inputs!$E$16))))*Inputs!$E$29))-((Inputs!$E$19+Inputs!$E$20+Inputs!$E$21+Inputs!$E$22+Inputs!$E$23))-(IF(AND(Inputs!$E$24&gt;0,28=Inputs!$E$24),Inputs!$E$25,0)))),0)*Inputs!$E$28))))+(IF(AND(Inputs!$E$17&gt;0,28=Inputs!$E$17),Inputs!$E$18,0))))</f>
        <v/>
      </c>
      <c r="AI4" s="8">
        <f>AH4+(((((((((Inputs!$E$3*(1+Inputs!$E$4)^(29-1))*(Inputs!$E$5*$C4))*Inputs!$E$6)+((Inputs!$E$7*(1+Inputs!$E$8)^(29-1))*Inputs!$E$9)+(Inputs!$E$11*(1+Inputs!$E$12)^(29-1))+(IF(29&lt;Inputs!$E$13,0,Inputs!$E$14*(1+Inputs!$E$15)^(29-Inputs!$E$13)*Inputs!$E$16))))-((((((((Inputs!$E$3*(1+Inputs!$E$4)^(29-1))*(Inputs!$E$5*$C4))*Inputs!$E$6)+((Inputs!$E$7*(1+Inputs!$E$8)^(29-1))*Inputs!$E$9)+(Inputs!$E$11*(1+Inputs!$E$12)^(29-1))+(IF(29&lt;Inputs!$E$13,0,Inputs!$E$14*(1+Inputs!$E$15)^(29-Inputs!$E$13)*Inputs!$E$16))))*Inputs!$E$26+((((Inputs!$E$3*(1+Inputs!$E$4)^(29-1))*(Inputs!$E$5*$C4))*Inputs!$E$6)+((Inputs!$E$7*(1+Inputs!$E$8)^(29-1))*Inputs!$E$9)+(IF(29&lt;Inputs!$E$13,0,Inputs!$E$14*(1+Inputs!$E$15)^(29-Inputs!$E$13)*Inputs!$E$16)))*Inputs!$E$27+(Inputs!$E$3*(1+Inputs!$E$4)^(29-1))*Inputs!$E$30))+(((Inputs!$E$7*(1+Inputs!$E$8)^(29-1))*Inputs!$E$10))+(((((((Inputs!$E$3*(1+Inputs!$E$4)^(29-1))*(Inputs!$E$5*$C4))*Inputs!$E$6)+((Inputs!$E$7*(1+Inputs!$E$8)^(29-1))*Inputs!$E$9)+(Inputs!$E$11*(1+Inputs!$E$12)^(29-1))+(IF(29&lt;Inputs!$E$13,0,Inputs!$E$14*(1+Inputs!$E$15)^(29-Inputs!$E$13)*Inputs!$E$16))))*Inputs!$E$29))+((Inputs!$E$19+Inputs!$E$20+Inputs!$E$21+Inputs!$E$22+Inputs!$E$23))+(IF(AND(Inputs!$E$24&gt;0,29=Inputs!$E$24),Inputs!$E$25,0))+(MAX((((((((Inputs!$E$3*(1+Inputs!$E$4)^(29-1))*(Inputs!$E$5*$C4))*Inputs!$E$6)+((Inputs!$E$7*(1+Inputs!$E$8)^(29-1))*Inputs!$E$9)+(Inputs!$E$11*(1+Inputs!$E$12)^(29-1))+(IF(29&lt;Inputs!$E$13,0,Inputs!$E$14*(1+Inputs!$E$15)^(29-Inputs!$E$13)*Inputs!$E$16))))-(((((((Inputs!$E$3*(1+Inputs!$E$4)^(29-1))*(Inputs!$E$5*$C4))*Inputs!$E$6)+((Inputs!$E$7*(1+Inputs!$E$8)^(29-1))*Inputs!$E$9)+(Inputs!$E$11*(1+Inputs!$E$12)^(29-1))+(IF(29&lt;Inputs!$E$13,0,Inputs!$E$14*(1+Inputs!$E$15)^(29-Inputs!$E$13)*Inputs!$E$16))))*Inputs!$E$26+((((Inputs!$E$3*(1+Inputs!$E$4)^(29-1))*(Inputs!$E$5*$C4))*Inputs!$E$6)+((Inputs!$E$7*(1+Inputs!$E$8)^(29-1))*Inputs!$E$9)+(IF(29&lt;Inputs!$E$13,0,Inputs!$E$14*(1+Inputs!$E$15)^(29-Inputs!$E$13)*Inputs!$E$16)))*Inputs!$E$27+(Inputs!$E$3*(1+Inputs!$E$4)^(29-1))*Inputs!$E$30))-(((Inputs!$E$7*(1+Inputs!$E$8)^(29-1))*Inputs!$E$10))-(((((((Inputs!$E$3*(1+Inputs!$E$4)^(29-1))*(Inputs!$E$5*$C4))*Inputs!$E$6)+((Inputs!$E$7*(1+Inputs!$E$8)^(29-1))*Inputs!$E$9)+(Inputs!$E$11*(1+Inputs!$E$12)^(29-1))+(IF(29&lt;Inputs!$E$13,0,Inputs!$E$14*(1+Inputs!$E$15)^(29-Inputs!$E$13)*Inputs!$E$16))))*Inputs!$E$29))-((Inputs!$E$19+Inputs!$E$20+Inputs!$E$21+Inputs!$E$22+Inputs!$E$23))-(IF(AND(Inputs!$E$24&gt;0,29=Inputs!$E$24),Inputs!$E$25,0)))),0)*Inputs!$E$28))))+(IF(AND(Inputs!$E$17&gt;0,29=Inputs!$E$17),Inputs!$E$18,0))))</f>
        <v/>
      </c>
      <c r="AJ4" s="8">
        <f>AI4+(((((((((Inputs!$E$3*(1+Inputs!$E$4)^(30-1))*(Inputs!$E$5*$C4))*Inputs!$E$6)+((Inputs!$E$7*(1+Inputs!$E$8)^(30-1))*Inputs!$E$9)+(Inputs!$E$11*(1+Inputs!$E$12)^(30-1))+(IF(30&lt;Inputs!$E$13,0,Inputs!$E$14*(1+Inputs!$E$15)^(30-Inputs!$E$13)*Inputs!$E$16))))-((((((((Inputs!$E$3*(1+Inputs!$E$4)^(30-1))*(Inputs!$E$5*$C4))*Inputs!$E$6)+((Inputs!$E$7*(1+Inputs!$E$8)^(30-1))*Inputs!$E$9)+(Inputs!$E$11*(1+Inputs!$E$12)^(30-1))+(IF(30&lt;Inputs!$E$13,0,Inputs!$E$14*(1+Inputs!$E$15)^(30-Inputs!$E$13)*Inputs!$E$16))))*Inputs!$E$26+((((Inputs!$E$3*(1+Inputs!$E$4)^(30-1))*(Inputs!$E$5*$C4))*Inputs!$E$6)+((Inputs!$E$7*(1+Inputs!$E$8)^(30-1))*Inputs!$E$9)+(IF(30&lt;Inputs!$E$13,0,Inputs!$E$14*(1+Inputs!$E$15)^(30-Inputs!$E$13)*Inputs!$E$16)))*Inputs!$E$27+(Inputs!$E$3*(1+Inputs!$E$4)^(30-1))*Inputs!$E$30))+(((Inputs!$E$7*(1+Inputs!$E$8)^(30-1))*Inputs!$E$10))+(((((((Inputs!$E$3*(1+Inputs!$E$4)^(30-1))*(Inputs!$E$5*$C4))*Inputs!$E$6)+((Inputs!$E$7*(1+Inputs!$E$8)^(30-1))*Inputs!$E$9)+(Inputs!$E$11*(1+Inputs!$E$12)^(30-1))+(IF(30&lt;Inputs!$E$13,0,Inputs!$E$14*(1+Inputs!$E$15)^(30-Inputs!$E$13)*Inputs!$E$16))))*Inputs!$E$29))+((Inputs!$E$19+Inputs!$E$20+Inputs!$E$21+Inputs!$E$22+Inputs!$E$23))+(IF(AND(Inputs!$E$24&gt;0,30=Inputs!$E$24),Inputs!$E$25,0))+(MAX((((((((Inputs!$E$3*(1+Inputs!$E$4)^(30-1))*(Inputs!$E$5*$C4))*Inputs!$E$6)+((Inputs!$E$7*(1+Inputs!$E$8)^(30-1))*Inputs!$E$9)+(Inputs!$E$11*(1+Inputs!$E$12)^(30-1))+(IF(30&lt;Inputs!$E$13,0,Inputs!$E$14*(1+Inputs!$E$15)^(30-Inputs!$E$13)*Inputs!$E$16))))-(((((((Inputs!$E$3*(1+Inputs!$E$4)^(30-1))*(Inputs!$E$5*$C4))*Inputs!$E$6)+((Inputs!$E$7*(1+Inputs!$E$8)^(30-1))*Inputs!$E$9)+(Inputs!$E$11*(1+Inputs!$E$12)^(30-1))+(IF(30&lt;Inputs!$E$13,0,Inputs!$E$14*(1+Inputs!$E$15)^(30-Inputs!$E$13)*Inputs!$E$16))))*Inputs!$E$26+((((Inputs!$E$3*(1+Inputs!$E$4)^(30-1))*(Inputs!$E$5*$C4))*Inputs!$E$6)+((Inputs!$E$7*(1+Inputs!$E$8)^(30-1))*Inputs!$E$9)+(IF(30&lt;Inputs!$E$13,0,Inputs!$E$14*(1+Inputs!$E$15)^(30-Inputs!$E$13)*Inputs!$E$16)))*Inputs!$E$27+(Inputs!$E$3*(1+Inputs!$E$4)^(30-1))*Inputs!$E$30))-(((Inputs!$E$7*(1+Inputs!$E$8)^(30-1))*Inputs!$E$10))-(((((((Inputs!$E$3*(1+Inputs!$E$4)^(30-1))*(Inputs!$E$5*$C4))*Inputs!$E$6)+((Inputs!$E$7*(1+Inputs!$E$8)^(30-1))*Inputs!$E$9)+(Inputs!$E$11*(1+Inputs!$E$12)^(30-1))+(IF(30&lt;Inputs!$E$13,0,Inputs!$E$14*(1+Inputs!$E$15)^(30-Inputs!$E$13)*Inputs!$E$16))))*Inputs!$E$29))-((Inputs!$E$19+Inputs!$E$20+Inputs!$E$21+Inputs!$E$22+Inputs!$E$23))-(IF(AND(Inputs!$E$24&gt;0,30=Inputs!$E$24),Inputs!$E$25,0)))),0)*Inputs!$E$28))))+(IF(AND(Inputs!$E$17&gt;0,30=Inputs!$E$17),Inputs!$E$18,0))))</f>
        <v/>
      </c>
      <c r="AK4" s="8">
        <f>AJ4+(((((((((Inputs!$E$3*(1+Inputs!$E$4)^(31-1))*(Inputs!$E$5*$C4))*Inputs!$E$6)+((Inputs!$E$7*(1+Inputs!$E$8)^(31-1))*Inputs!$E$9)+(Inputs!$E$11*(1+Inputs!$E$12)^(31-1))+(IF(31&lt;Inputs!$E$13,0,Inputs!$E$14*(1+Inputs!$E$15)^(31-Inputs!$E$13)*Inputs!$E$16))))-((((((((Inputs!$E$3*(1+Inputs!$E$4)^(31-1))*(Inputs!$E$5*$C4))*Inputs!$E$6)+((Inputs!$E$7*(1+Inputs!$E$8)^(31-1))*Inputs!$E$9)+(Inputs!$E$11*(1+Inputs!$E$12)^(31-1))+(IF(31&lt;Inputs!$E$13,0,Inputs!$E$14*(1+Inputs!$E$15)^(31-Inputs!$E$13)*Inputs!$E$16))))*Inputs!$E$26+((((Inputs!$E$3*(1+Inputs!$E$4)^(31-1))*(Inputs!$E$5*$C4))*Inputs!$E$6)+((Inputs!$E$7*(1+Inputs!$E$8)^(31-1))*Inputs!$E$9)+(IF(31&lt;Inputs!$E$13,0,Inputs!$E$14*(1+Inputs!$E$15)^(31-Inputs!$E$13)*Inputs!$E$16)))*Inputs!$E$27+(Inputs!$E$3*(1+Inputs!$E$4)^(31-1))*Inputs!$E$30))+(((Inputs!$E$7*(1+Inputs!$E$8)^(31-1))*Inputs!$E$10))+(((((((Inputs!$E$3*(1+Inputs!$E$4)^(31-1))*(Inputs!$E$5*$C4))*Inputs!$E$6)+((Inputs!$E$7*(1+Inputs!$E$8)^(31-1))*Inputs!$E$9)+(Inputs!$E$11*(1+Inputs!$E$12)^(31-1))+(IF(31&lt;Inputs!$E$13,0,Inputs!$E$14*(1+Inputs!$E$15)^(31-Inputs!$E$13)*Inputs!$E$16))))*Inputs!$E$29))+((Inputs!$E$19+Inputs!$E$20+Inputs!$E$21+Inputs!$E$22+Inputs!$E$23))+(IF(AND(Inputs!$E$24&gt;0,31=Inputs!$E$24),Inputs!$E$25,0))+(MAX((((((((Inputs!$E$3*(1+Inputs!$E$4)^(31-1))*(Inputs!$E$5*$C4))*Inputs!$E$6)+((Inputs!$E$7*(1+Inputs!$E$8)^(31-1))*Inputs!$E$9)+(Inputs!$E$11*(1+Inputs!$E$12)^(31-1))+(IF(31&lt;Inputs!$E$13,0,Inputs!$E$14*(1+Inputs!$E$15)^(31-Inputs!$E$13)*Inputs!$E$16))))-(((((((Inputs!$E$3*(1+Inputs!$E$4)^(31-1))*(Inputs!$E$5*$C4))*Inputs!$E$6)+((Inputs!$E$7*(1+Inputs!$E$8)^(31-1))*Inputs!$E$9)+(Inputs!$E$11*(1+Inputs!$E$12)^(31-1))+(IF(31&lt;Inputs!$E$13,0,Inputs!$E$14*(1+Inputs!$E$15)^(31-Inputs!$E$13)*Inputs!$E$16))))*Inputs!$E$26+((((Inputs!$E$3*(1+Inputs!$E$4)^(31-1))*(Inputs!$E$5*$C4))*Inputs!$E$6)+((Inputs!$E$7*(1+Inputs!$E$8)^(31-1))*Inputs!$E$9)+(IF(31&lt;Inputs!$E$13,0,Inputs!$E$14*(1+Inputs!$E$15)^(31-Inputs!$E$13)*Inputs!$E$16)))*Inputs!$E$27+(Inputs!$E$3*(1+Inputs!$E$4)^(31-1))*Inputs!$E$30))-(((Inputs!$E$7*(1+Inputs!$E$8)^(31-1))*Inputs!$E$10))-(((((((Inputs!$E$3*(1+Inputs!$E$4)^(31-1))*(Inputs!$E$5*$C4))*Inputs!$E$6)+((Inputs!$E$7*(1+Inputs!$E$8)^(31-1))*Inputs!$E$9)+(Inputs!$E$11*(1+Inputs!$E$12)^(31-1))+(IF(31&lt;Inputs!$E$13,0,Inputs!$E$14*(1+Inputs!$E$15)^(31-Inputs!$E$13)*Inputs!$E$16))))*Inputs!$E$29))-((Inputs!$E$19+Inputs!$E$20+Inputs!$E$21+Inputs!$E$22+Inputs!$E$23))-(IF(AND(Inputs!$E$24&gt;0,31=Inputs!$E$24),Inputs!$E$25,0)))),0)*Inputs!$E$28))))+(IF(AND(Inputs!$E$17&gt;0,31=Inputs!$E$17),Inputs!$E$18,0))))</f>
        <v/>
      </c>
      <c r="AL4" s="8">
        <f>AK4+(((((((((Inputs!$E$3*(1+Inputs!$E$4)^(32-1))*(Inputs!$E$5*$C4))*Inputs!$E$6)+((Inputs!$E$7*(1+Inputs!$E$8)^(32-1))*Inputs!$E$9)+(Inputs!$E$11*(1+Inputs!$E$12)^(32-1))+(IF(32&lt;Inputs!$E$13,0,Inputs!$E$14*(1+Inputs!$E$15)^(32-Inputs!$E$13)*Inputs!$E$16))))-((((((((Inputs!$E$3*(1+Inputs!$E$4)^(32-1))*(Inputs!$E$5*$C4))*Inputs!$E$6)+((Inputs!$E$7*(1+Inputs!$E$8)^(32-1))*Inputs!$E$9)+(Inputs!$E$11*(1+Inputs!$E$12)^(32-1))+(IF(32&lt;Inputs!$E$13,0,Inputs!$E$14*(1+Inputs!$E$15)^(32-Inputs!$E$13)*Inputs!$E$16))))*Inputs!$E$26+((((Inputs!$E$3*(1+Inputs!$E$4)^(32-1))*(Inputs!$E$5*$C4))*Inputs!$E$6)+((Inputs!$E$7*(1+Inputs!$E$8)^(32-1))*Inputs!$E$9)+(IF(32&lt;Inputs!$E$13,0,Inputs!$E$14*(1+Inputs!$E$15)^(32-Inputs!$E$13)*Inputs!$E$16)))*Inputs!$E$27+(Inputs!$E$3*(1+Inputs!$E$4)^(32-1))*Inputs!$E$30))+(((Inputs!$E$7*(1+Inputs!$E$8)^(32-1))*Inputs!$E$10))+(((((((Inputs!$E$3*(1+Inputs!$E$4)^(32-1))*(Inputs!$E$5*$C4))*Inputs!$E$6)+((Inputs!$E$7*(1+Inputs!$E$8)^(32-1))*Inputs!$E$9)+(Inputs!$E$11*(1+Inputs!$E$12)^(32-1))+(IF(32&lt;Inputs!$E$13,0,Inputs!$E$14*(1+Inputs!$E$15)^(32-Inputs!$E$13)*Inputs!$E$16))))*Inputs!$E$29))+((Inputs!$E$19+Inputs!$E$20+Inputs!$E$21+Inputs!$E$22+Inputs!$E$23))+(IF(AND(Inputs!$E$24&gt;0,32=Inputs!$E$24),Inputs!$E$25,0))+(MAX((((((((Inputs!$E$3*(1+Inputs!$E$4)^(32-1))*(Inputs!$E$5*$C4))*Inputs!$E$6)+((Inputs!$E$7*(1+Inputs!$E$8)^(32-1))*Inputs!$E$9)+(Inputs!$E$11*(1+Inputs!$E$12)^(32-1))+(IF(32&lt;Inputs!$E$13,0,Inputs!$E$14*(1+Inputs!$E$15)^(32-Inputs!$E$13)*Inputs!$E$16))))-(((((((Inputs!$E$3*(1+Inputs!$E$4)^(32-1))*(Inputs!$E$5*$C4))*Inputs!$E$6)+((Inputs!$E$7*(1+Inputs!$E$8)^(32-1))*Inputs!$E$9)+(Inputs!$E$11*(1+Inputs!$E$12)^(32-1))+(IF(32&lt;Inputs!$E$13,0,Inputs!$E$14*(1+Inputs!$E$15)^(32-Inputs!$E$13)*Inputs!$E$16))))*Inputs!$E$26+((((Inputs!$E$3*(1+Inputs!$E$4)^(32-1))*(Inputs!$E$5*$C4))*Inputs!$E$6)+((Inputs!$E$7*(1+Inputs!$E$8)^(32-1))*Inputs!$E$9)+(IF(32&lt;Inputs!$E$13,0,Inputs!$E$14*(1+Inputs!$E$15)^(32-Inputs!$E$13)*Inputs!$E$16)))*Inputs!$E$27+(Inputs!$E$3*(1+Inputs!$E$4)^(32-1))*Inputs!$E$30))-(((Inputs!$E$7*(1+Inputs!$E$8)^(32-1))*Inputs!$E$10))-(((((((Inputs!$E$3*(1+Inputs!$E$4)^(32-1))*(Inputs!$E$5*$C4))*Inputs!$E$6)+((Inputs!$E$7*(1+Inputs!$E$8)^(32-1))*Inputs!$E$9)+(Inputs!$E$11*(1+Inputs!$E$12)^(32-1))+(IF(32&lt;Inputs!$E$13,0,Inputs!$E$14*(1+Inputs!$E$15)^(32-Inputs!$E$13)*Inputs!$E$16))))*Inputs!$E$29))-((Inputs!$E$19+Inputs!$E$20+Inputs!$E$21+Inputs!$E$22+Inputs!$E$23))-(IF(AND(Inputs!$E$24&gt;0,32=Inputs!$E$24),Inputs!$E$25,0)))),0)*Inputs!$E$28))))+(IF(AND(Inputs!$E$17&gt;0,32=Inputs!$E$17),Inputs!$E$18,0))))</f>
        <v/>
      </c>
      <c r="AM4" s="8">
        <f>AL4+(((((((((Inputs!$E$3*(1+Inputs!$E$4)^(33-1))*(Inputs!$E$5*$C4))*Inputs!$E$6)+((Inputs!$E$7*(1+Inputs!$E$8)^(33-1))*Inputs!$E$9)+(Inputs!$E$11*(1+Inputs!$E$12)^(33-1))+(IF(33&lt;Inputs!$E$13,0,Inputs!$E$14*(1+Inputs!$E$15)^(33-Inputs!$E$13)*Inputs!$E$16))))-((((((((Inputs!$E$3*(1+Inputs!$E$4)^(33-1))*(Inputs!$E$5*$C4))*Inputs!$E$6)+((Inputs!$E$7*(1+Inputs!$E$8)^(33-1))*Inputs!$E$9)+(Inputs!$E$11*(1+Inputs!$E$12)^(33-1))+(IF(33&lt;Inputs!$E$13,0,Inputs!$E$14*(1+Inputs!$E$15)^(33-Inputs!$E$13)*Inputs!$E$16))))*Inputs!$E$26+((((Inputs!$E$3*(1+Inputs!$E$4)^(33-1))*(Inputs!$E$5*$C4))*Inputs!$E$6)+((Inputs!$E$7*(1+Inputs!$E$8)^(33-1))*Inputs!$E$9)+(IF(33&lt;Inputs!$E$13,0,Inputs!$E$14*(1+Inputs!$E$15)^(33-Inputs!$E$13)*Inputs!$E$16)))*Inputs!$E$27+(Inputs!$E$3*(1+Inputs!$E$4)^(33-1))*Inputs!$E$30))+(((Inputs!$E$7*(1+Inputs!$E$8)^(33-1))*Inputs!$E$10))+(((((((Inputs!$E$3*(1+Inputs!$E$4)^(33-1))*(Inputs!$E$5*$C4))*Inputs!$E$6)+((Inputs!$E$7*(1+Inputs!$E$8)^(33-1))*Inputs!$E$9)+(Inputs!$E$11*(1+Inputs!$E$12)^(33-1))+(IF(33&lt;Inputs!$E$13,0,Inputs!$E$14*(1+Inputs!$E$15)^(33-Inputs!$E$13)*Inputs!$E$16))))*Inputs!$E$29))+((Inputs!$E$19+Inputs!$E$20+Inputs!$E$21+Inputs!$E$22+Inputs!$E$23))+(IF(AND(Inputs!$E$24&gt;0,33=Inputs!$E$24),Inputs!$E$25,0))+(MAX((((((((Inputs!$E$3*(1+Inputs!$E$4)^(33-1))*(Inputs!$E$5*$C4))*Inputs!$E$6)+((Inputs!$E$7*(1+Inputs!$E$8)^(33-1))*Inputs!$E$9)+(Inputs!$E$11*(1+Inputs!$E$12)^(33-1))+(IF(33&lt;Inputs!$E$13,0,Inputs!$E$14*(1+Inputs!$E$15)^(33-Inputs!$E$13)*Inputs!$E$16))))-(((((((Inputs!$E$3*(1+Inputs!$E$4)^(33-1))*(Inputs!$E$5*$C4))*Inputs!$E$6)+((Inputs!$E$7*(1+Inputs!$E$8)^(33-1))*Inputs!$E$9)+(Inputs!$E$11*(1+Inputs!$E$12)^(33-1))+(IF(33&lt;Inputs!$E$13,0,Inputs!$E$14*(1+Inputs!$E$15)^(33-Inputs!$E$13)*Inputs!$E$16))))*Inputs!$E$26+((((Inputs!$E$3*(1+Inputs!$E$4)^(33-1))*(Inputs!$E$5*$C4))*Inputs!$E$6)+((Inputs!$E$7*(1+Inputs!$E$8)^(33-1))*Inputs!$E$9)+(IF(33&lt;Inputs!$E$13,0,Inputs!$E$14*(1+Inputs!$E$15)^(33-Inputs!$E$13)*Inputs!$E$16)))*Inputs!$E$27+(Inputs!$E$3*(1+Inputs!$E$4)^(33-1))*Inputs!$E$30))-(((Inputs!$E$7*(1+Inputs!$E$8)^(33-1))*Inputs!$E$10))-(((((((Inputs!$E$3*(1+Inputs!$E$4)^(33-1))*(Inputs!$E$5*$C4))*Inputs!$E$6)+((Inputs!$E$7*(1+Inputs!$E$8)^(33-1))*Inputs!$E$9)+(Inputs!$E$11*(1+Inputs!$E$12)^(33-1))+(IF(33&lt;Inputs!$E$13,0,Inputs!$E$14*(1+Inputs!$E$15)^(33-Inputs!$E$13)*Inputs!$E$16))))*Inputs!$E$29))-((Inputs!$E$19+Inputs!$E$20+Inputs!$E$21+Inputs!$E$22+Inputs!$E$23))-(IF(AND(Inputs!$E$24&gt;0,33=Inputs!$E$24),Inputs!$E$25,0)))),0)*Inputs!$E$28))))+(IF(AND(Inputs!$E$17&gt;0,33=Inputs!$E$17),Inputs!$E$18,0))))</f>
        <v/>
      </c>
      <c r="AN4" s="8">
        <f>AM4+(((((((((Inputs!$E$3*(1+Inputs!$E$4)^(34-1))*(Inputs!$E$5*$C4))*Inputs!$E$6)+((Inputs!$E$7*(1+Inputs!$E$8)^(34-1))*Inputs!$E$9)+(Inputs!$E$11*(1+Inputs!$E$12)^(34-1))+(IF(34&lt;Inputs!$E$13,0,Inputs!$E$14*(1+Inputs!$E$15)^(34-Inputs!$E$13)*Inputs!$E$16))))-((((((((Inputs!$E$3*(1+Inputs!$E$4)^(34-1))*(Inputs!$E$5*$C4))*Inputs!$E$6)+((Inputs!$E$7*(1+Inputs!$E$8)^(34-1))*Inputs!$E$9)+(Inputs!$E$11*(1+Inputs!$E$12)^(34-1))+(IF(34&lt;Inputs!$E$13,0,Inputs!$E$14*(1+Inputs!$E$15)^(34-Inputs!$E$13)*Inputs!$E$16))))*Inputs!$E$26+((((Inputs!$E$3*(1+Inputs!$E$4)^(34-1))*(Inputs!$E$5*$C4))*Inputs!$E$6)+((Inputs!$E$7*(1+Inputs!$E$8)^(34-1))*Inputs!$E$9)+(IF(34&lt;Inputs!$E$13,0,Inputs!$E$14*(1+Inputs!$E$15)^(34-Inputs!$E$13)*Inputs!$E$16)))*Inputs!$E$27+(Inputs!$E$3*(1+Inputs!$E$4)^(34-1))*Inputs!$E$30))+(((Inputs!$E$7*(1+Inputs!$E$8)^(34-1))*Inputs!$E$10))+(((((((Inputs!$E$3*(1+Inputs!$E$4)^(34-1))*(Inputs!$E$5*$C4))*Inputs!$E$6)+((Inputs!$E$7*(1+Inputs!$E$8)^(34-1))*Inputs!$E$9)+(Inputs!$E$11*(1+Inputs!$E$12)^(34-1))+(IF(34&lt;Inputs!$E$13,0,Inputs!$E$14*(1+Inputs!$E$15)^(34-Inputs!$E$13)*Inputs!$E$16))))*Inputs!$E$29))+((Inputs!$E$19+Inputs!$E$20+Inputs!$E$21+Inputs!$E$22+Inputs!$E$23))+(IF(AND(Inputs!$E$24&gt;0,34=Inputs!$E$24),Inputs!$E$25,0))+(MAX((((((((Inputs!$E$3*(1+Inputs!$E$4)^(34-1))*(Inputs!$E$5*$C4))*Inputs!$E$6)+((Inputs!$E$7*(1+Inputs!$E$8)^(34-1))*Inputs!$E$9)+(Inputs!$E$11*(1+Inputs!$E$12)^(34-1))+(IF(34&lt;Inputs!$E$13,0,Inputs!$E$14*(1+Inputs!$E$15)^(34-Inputs!$E$13)*Inputs!$E$16))))-(((((((Inputs!$E$3*(1+Inputs!$E$4)^(34-1))*(Inputs!$E$5*$C4))*Inputs!$E$6)+((Inputs!$E$7*(1+Inputs!$E$8)^(34-1))*Inputs!$E$9)+(Inputs!$E$11*(1+Inputs!$E$12)^(34-1))+(IF(34&lt;Inputs!$E$13,0,Inputs!$E$14*(1+Inputs!$E$15)^(34-Inputs!$E$13)*Inputs!$E$16))))*Inputs!$E$26+((((Inputs!$E$3*(1+Inputs!$E$4)^(34-1))*(Inputs!$E$5*$C4))*Inputs!$E$6)+((Inputs!$E$7*(1+Inputs!$E$8)^(34-1))*Inputs!$E$9)+(IF(34&lt;Inputs!$E$13,0,Inputs!$E$14*(1+Inputs!$E$15)^(34-Inputs!$E$13)*Inputs!$E$16)))*Inputs!$E$27+(Inputs!$E$3*(1+Inputs!$E$4)^(34-1))*Inputs!$E$30))-(((Inputs!$E$7*(1+Inputs!$E$8)^(34-1))*Inputs!$E$10))-(((((((Inputs!$E$3*(1+Inputs!$E$4)^(34-1))*(Inputs!$E$5*$C4))*Inputs!$E$6)+((Inputs!$E$7*(1+Inputs!$E$8)^(34-1))*Inputs!$E$9)+(Inputs!$E$11*(1+Inputs!$E$12)^(34-1))+(IF(34&lt;Inputs!$E$13,0,Inputs!$E$14*(1+Inputs!$E$15)^(34-Inputs!$E$13)*Inputs!$E$16))))*Inputs!$E$29))-((Inputs!$E$19+Inputs!$E$20+Inputs!$E$21+Inputs!$E$22+Inputs!$E$23))-(IF(AND(Inputs!$E$24&gt;0,34=Inputs!$E$24),Inputs!$E$25,0)))),0)*Inputs!$E$28))))+(IF(AND(Inputs!$E$17&gt;0,34=Inputs!$E$17),Inputs!$E$18,0))))</f>
        <v/>
      </c>
      <c r="AO4" s="8">
        <f>AN4+(((((((((Inputs!$E$3*(1+Inputs!$E$4)^(35-1))*(Inputs!$E$5*$C4))*Inputs!$E$6)+((Inputs!$E$7*(1+Inputs!$E$8)^(35-1))*Inputs!$E$9)+(Inputs!$E$11*(1+Inputs!$E$12)^(35-1))+(IF(35&lt;Inputs!$E$13,0,Inputs!$E$14*(1+Inputs!$E$15)^(35-Inputs!$E$13)*Inputs!$E$16))))-((((((((Inputs!$E$3*(1+Inputs!$E$4)^(35-1))*(Inputs!$E$5*$C4))*Inputs!$E$6)+((Inputs!$E$7*(1+Inputs!$E$8)^(35-1))*Inputs!$E$9)+(Inputs!$E$11*(1+Inputs!$E$12)^(35-1))+(IF(35&lt;Inputs!$E$13,0,Inputs!$E$14*(1+Inputs!$E$15)^(35-Inputs!$E$13)*Inputs!$E$16))))*Inputs!$E$26+((((Inputs!$E$3*(1+Inputs!$E$4)^(35-1))*(Inputs!$E$5*$C4))*Inputs!$E$6)+((Inputs!$E$7*(1+Inputs!$E$8)^(35-1))*Inputs!$E$9)+(IF(35&lt;Inputs!$E$13,0,Inputs!$E$14*(1+Inputs!$E$15)^(35-Inputs!$E$13)*Inputs!$E$16)))*Inputs!$E$27+(Inputs!$E$3*(1+Inputs!$E$4)^(35-1))*Inputs!$E$30))+(((Inputs!$E$7*(1+Inputs!$E$8)^(35-1))*Inputs!$E$10))+(((((((Inputs!$E$3*(1+Inputs!$E$4)^(35-1))*(Inputs!$E$5*$C4))*Inputs!$E$6)+((Inputs!$E$7*(1+Inputs!$E$8)^(35-1))*Inputs!$E$9)+(Inputs!$E$11*(1+Inputs!$E$12)^(35-1))+(IF(35&lt;Inputs!$E$13,0,Inputs!$E$14*(1+Inputs!$E$15)^(35-Inputs!$E$13)*Inputs!$E$16))))*Inputs!$E$29))+((Inputs!$E$19+Inputs!$E$20+Inputs!$E$21+Inputs!$E$22+Inputs!$E$23))+(IF(AND(Inputs!$E$24&gt;0,35=Inputs!$E$24),Inputs!$E$25,0))+(MAX((((((((Inputs!$E$3*(1+Inputs!$E$4)^(35-1))*(Inputs!$E$5*$C4))*Inputs!$E$6)+((Inputs!$E$7*(1+Inputs!$E$8)^(35-1))*Inputs!$E$9)+(Inputs!$E$11*(1+Inputs!$E$12)^(35-1))+(IF(35&lt;Inputs!$E$13,0,Inputs!$E$14*(1+Inputs!$E$15)^(35-Inputs!$E$13)*Inputs!$E$16))))-(((((((Inputs!$E$3*(1+Inputs!$E$4)^(35-1))*(Inputs!$E$5*$C4))*Inputs!$E$6)+((Inputs!$E$7*(1+Inputs!$E$8)^(35-1))*Inputs!$E$9)+(Inputs!$E$11*(1+Inputs!$E$12)^(35-1))+(IF(35&lt;Inputs!$E$13,0,Inputs!$E$14*(1+Inputs!$E$15)^(35-Inputs!$E$13)*Inputs!$E$16))))*Inputs!$E$26+((((Inputs!$E$3*(1+Inputs!$E$4)^(35-1))*(Inputs!$E$5*$C4))*Inputs!$E$6)+((Inputs!$E$7*(1+Inputs!$E$8)^(35-1))*Inputs!$E$9)+(IF(35&lt;Inputs!$E$13,0,Inputs!$E$14*(1+Inputs!$E$15)^(35-Inputs!$E$13)*Inputs!$E$16)))*Inputs!$E$27+(Inputs!$E$3*(1+Inputs!$E$4)^(35-1))*Inputs!$E$30))-(((Inputs!$E$7*(1+Inputs!$E$8)^(35-1))*Inputs!$E$10))-(((((((Inputs!$E$3*(1+Inputs!$E$4)^(35-1))*(Inputs!$E$5*$C4))*Inputs!$E$6)+((Inputs!$E$7*(1+Inputs!$E$8)^(35-1))*Inputs!$E$9)+(Inputs!$E$11*(1+Inputs!$E$12)^(35-1))+(IF(35&lt;Inputs!$E$13,0,Inputs!$E$14*(1+Inputs!$E$15)^(35-Inputs!$E$13)*Inputs!$E$16))))*Inputs!$E$29))-((Inputs!$E$19+Inputs!$E$20+Inputs!$E$21+Inputs!$E$22+Inputs!$E$23))-(IF(AND(Inputs!$E$24&gt;0,35=Inputs!$E$24),Inputs!$E$25,0)))),0)*Inputs!$E$28))))+(IF(AND(Inputs!$E$17&gt;0,35=Inputs!$E$17),Inputs!$E$18,0))))</f>
        <v/>
      </c>
      <c r="AP4" s="8">
        <f>AO4+(((((((((Inputs!$E$3*(1+Inputs!$E$4)^(36-1))*(Inputs!$E$5*$C4))*Inputs!$E$6)+((Inputs!$E$7*(1+Inputs!$E$8)^(36-1))*Inputs!$E$9)+(Inputs!$E$11*(1+Inputs!$E$12)^(36-1))+(IF(36&lt;Inputs!$E$13,0,Inputs!$E$14*(1+Inputs!$E$15)^(36-Inputs!$E$13)*Inputs!$E$16))))-((((((((Inputs!$E$3*(1+Inputs!$E$4)^(36-1))*(Inputs!$E$5*$C4))*Inputs!$E$6)+((Inputs!$E$7*(1+Inputs!$E$8)^(36-1))*Inputs!$E$9)+(Inputs!$E$11*(1+Inputs!$E$12)^(36-1))+(IF(36&lt;Inputs!$E$13,0,Inputs!$E$14*(1+Inputs!$E$15)^(36-Inputs!$E$13)*Inputs!$E$16))))*Inputs!$E$26+((((Inputs!$E$3*(1+Inputs!$E$4)^(36-1))*(Inputs!$E$5*$C4))*Inputs!$E$6)+((Inputs!$E$7*(1+Inputs!$E$8)^(36-1))*Inputs!$E$9)+(IF(36&lt;Inputs!$E$13,0,Inputs!$E$14*(1+Inputs!$E$15)^(36-Inputs!$E$13)*Inputs!$E$16)))*Inputs!$E$27+(Inputs!$E$3*(1+Inputs!$E$4)^(36-1))*Inputs!$E$30))+(((Inputs!$E$7*(1+Inputs!$E$8)^(36-1))*Inputs!$E$10))+(((((((Inputs!$E$3*(1+Inputs!$E$4)^(36-1))*(Inputs!$E$5*$C4))*Inputs!$E$6)+((Inputs!$E$7*(1+Inputs!$E$8)^(36-1))*Inputs!$E$9)+(Inputs!$E$11*(1+Inputs!$E$12)^(36-1))+(IF(36&lt;Inputs!$E$13,0,Inputs!$E$14*(1+Inputs!$E$15)^(36-Inputs!$E$13)*Inputs!$E$16))))*Inputs!$E$29))+((Inputs!$E$19+Inputs!$E$20+Inputs!$E$21+Inputs!$E$22+Inputs!$E$23))+(IF(AND(Inputs!$E$24&gt;0,36=Inputs!$E$24),Inputs!$E$25,0))+(MAX((((((((Inputs!$E$3*(1+Inputs!$E$4)^(36-1))*(Inputs!$E$5*$C4))*Inputs!$E$6)+((Inputs!$E$7*(1+Inputs!$E$8)^(36-1))*Inputs!$E$9)+(Inputs!$E$11*(1+Inputs!$E$12)^(36-1))+(IF(36&lt;Inputs!$E$13,0,Inputs!$E$14*(1+Inputs!$E$15)^(36-Inputs!$E$13)*Inputs!$E$16))))-(((((((Inputs!$E$3*(1+Inputs!$E$4)^(36-1))*(Inputs!$E$5*$C4))*Inputs!$E$6)+((Inputs!$E$7*(1+Inputs!$E$8)^(36-1))*Inputs!$E$9)+(Inputs!$E$11*(1+Inputs!$E$12)^(36-1))+(IF(36&lt;Inputs!$E$13,0,Inputs!$E$14*(1+Inputs!$E$15)^(36-Inputs!$E$13)*Inputs!$E$16))))*Inputs!$E$26+((((Inputs!$E$3*(1+Inputs!$E$4)^(36-1))*(Inputs!$E$5*$C4))*Inputs!$E$6)+((Inputs!$E$7*(1+Inputs!$E$8)^(36-1))*Inputs!$E$9)+(IF(36&lt;Inputs!$E$13,0,Inputs!$E$14*(1+Inputs!$E$15)^(36-Inputs!$E$13)*Inputs!$E$16)))*Inputs!$E$27+(Inputs!$E$3*(1+Inputs!$E$4)^(36-1))*Inputs!$E$30))-(((Inputs!$E$7*(1+Inputs!$E$8)^(36-1))*Inputs!$E$10))-(((((((Inputs!$E$3*(1+Inputs!$E$4)^(36-1))*(Inputs!$E$5*$C4))*Inputs!$E$6)+((Inputs!$E$7*(1+Inputs!$E$8)^(36-1))*Inputs!$E$9)+(Inputs!$E$11*(1+Inputs!$E$12)^(36-1))+(IF(36&lt;Inputs!$E$13,0,Inputs!$E$14*(1+Inputs!$E$15)^(36-Inputs!$E$13)*Inputs!$E$16))))*Inputs!$E$29))-((Inputs!$E$19+Inputs!$E$20+Inputs!$E$21+Inputs!$E$22+Inputs!$E$23))-(IF(AND(Inputs!$E$24&gt;0,36=Inputs!$E$24),Inputs!$E$25,0)))),0)*Inputs!$E$28))))+(IF(AND(Inputs!$E$17&gt;0,36=Inputs!$E$17),Inputs!$E$18,0))))</f>
        <v/>
      </c>
    </row>
    <row r="5">
      <c r="A5" s="2" t="inlineStr">
        <is>
          <t>paid_conversion</t>
        </is>
      </c>
      <c r="B5" s="2" t="inlineStr">
        <is>
          <t>Paid conversion +20%</t>
        </is>
      </c>
      <c r="C5" s="2" t="n">
        <v>1.2</v>
      </c>
      <c r="D5" s="8">
        <f>AP5</f>
        <v/>
      </c>
      <c r="E5" s="8">
        <f>IFERROR(INDEX($G$1:$AP$1,MATCH(TRUE,$G5:$AP5&lt;0,0)),"No cash-out")</f>
        <v/>
      </c>
      <c r="F5" s="2" t="inlineStr">
        <is>
          <t>See ending cash / cash-out; monthly op net in Monthly Model</t>
        </is>
      </c>
      <c r="G5" s="8">
        <f>Inputs!$E$2+(((((((((Inputs!$E$3*(1+Inputs!$E$4)^(1-1))*(Inputs!$E$5*$C5))*Inputs!$E$6)+((Inputs!$E$7*(1+Inputs!$E$8)^(1-1))*Inputs!$E$9)+(Inputs!$E$11*(1+Inputs!$E$12)^(1-1))+(IF(1&lt;Inputs!$E$13,0,Inputs!$E$14*(1+Inputs!$E$15)^(1-Inputs!$E$13)*Inputs!$E$16))))-((((((((Inputs!$E$3*(1+Inputs!$E$4)^(1-1))*(Inputs!$E$5*$C5))*Inputs!$E$6)+((Inputs!$E$7*(1+Inputs!$E$8)^(1-1))*Inputs!$E$9)+(Inputs!$E$11*(1+Inputs!$E$12)^(1-1))+(IF(1&lt;Inputs!$E$13,0,Inputs!$E$14*(1+Inputs!$E$15)^(1-Inputs!$E$13)*Inputs!$E$16))))*Inputs!$E$26+((((Inputs!$E$3*(1+Inputs!$E$4)^(1-1))*(Inputs!$E$5*$C5))*Inputs!$E$6)+((Inputs!$E$7*(1+Inputs!$E$8)^(1-1))*Inputs!$E$9)+(IF(1&lt;Inputs!$E$13,0,Inputs!$E$14*(1+Inputs!$E$15)^(1-Inputs!$E$13)*Inputs!$E$16)))*Inputs!$E$27+(Inputs!$E$3*(1+Inputs!$E$4)^(1-1))*Inputs!$E$30))+(((Inputs!$E$7*(1+Inputs!$E$8)^(1-1))*Inputs!$E$10))+(((((((Inputs!$E$3*(1+Inputs!$E$4)^(1-1))*(Inputs!$E$5*$C5))*Inputs!$E$6)+((Inputs!$E$7*(1+Inputs!$E$8)^(1-1))*Inputs!$E$9)+(Inputs!$E$11*(1+Inputs!$E$12)^(1-1))+(IF(1&lt;Inputs!$E$13,0,Inputs!$E$14*(1+Inputs!$E$15)^(1-Inputs!$E$13)*Inputs!$E$16))))*Inputs!$E$29))+((Inputs!$E$19+Inputs!$E$20+Inputs!$E$21+Inputs!$E$22+Inputs!$E$23))+(IF(AND(Inputs!$E$24&gt;0,1=Inputs!$E$24),Inputs!$E$25,0))+(MAX((((((((Inputs!$E$3*(1+Inputs!$E$4)^(1-1))*(Inputs!$E$5*$C5))*Inputs!$E$6)+((Inputs!$E$7*(1+Inputs!$E$8)^(1-1))*Inputs!$E$9)+(Inputs!$E$11*(1+Inputs!$E$12)^(1-1))+(IF(1&lt;Inputs!$E$13,0,Inputs!$E$14*(1+Inputs!$E$15)^(1-Inputs!$E$13)*Inputs!$E$16))))-(((((((Inputs!$E$3*(1+Inputs!$E$4)^(1-1))*(Inputs!$E$5*$C5))*Inputs!$E$6)+((Inputs!$E$7*(1+Inputs!$E$8)^(1-1))*Inputs!$E$9)+(Inputs!$E$11*(1+Inputs!$E$12)^(1-1))+(IF(1&lt;Inputs!$E$13,0,Inputs!$E$14*(1+Inputs!$E$15)^(1-Inputs!$E$13)*Inputs!$E$16))))*Inputs!$E$26+((((Inputs!$E$3*(1+Inputs!$E$4)^(1-1))*(Inputs!$E$5*$C5))*Inputs!$E$6)+((Inputs!$E$7*(1+Inputs!$E$8)^(1-1))*Inputs!$E$9)+(IF(1&lt;Inputs!$E$13,0,Inputs!$E$14*(1+Inputs!$E$15)^(1-Inputs!$E$13)*Inputs!$E$16)))*Inputs!$E$27+(Inputs!$E$3*(1+Inputs!$E$4)^(1-1))*Inputs!$E$30))-(((Inputs!$E$7*(1+Inputs!$E$8)^(1-1))*Inputs!$E$10))-(((((((Inputs!$E$3*(1+Inputs!$E$4)^(1-1))*(Inputs!$E$5*$C5))*Inputs!$E$6)+((Inputs!$E$7*(1+Inputs!$E$8)^(1-1))*Inputs!$E$9)+(Inputs!$E$11*(1+Inputs!$E$12)^(1-1))+(IF(1&lt;Inputs!$E$13,0,Inputs!$E$14*(1+Inputs!$E$15)^(1-Inputs!$E$13)*Inputs!$E$16))))*Inputs!$E$29))-((Inputs!$E$19+Inputs!$E$20+Inputs!$E$21+Inputs!$E$22+Inputs!$E$23))-(IF(AND(Inputs!$E$24&gt;0,1=Inputs!$E$24),Inputs!$E$25,0)))),0)*Inputs!$E$28))))+(IF(AND(Inputs!$E$17&gt;0,1=Inputs!$E$17),Inputs!$E$18,0))))</f>
        <v/>
      </c>
      <c r="H5" s="8">
        <f>G5+(((((((((Inputs!$E$3*(1+Inputs!$E$4)^(2-1))*(Inputs!$E$5*$C5))*Inputs!$E$6)+((Inputs!$E$7*(1+Inputs!$E$8)^(2-1))*Inputs!$E$9)+(Inputs!$E$11*(1+Inputs!$E$12)^(2-1))+(IF(2&lt;Inputs!$E$13,0,Inputs!$E$14*(1+Inputs!$E$15)^(2-Inputs!$E$13)*Inputs!$E$16))))-((((((((Inputs!$E$3*(1+Inputs!$E$4)^(2-1))*(Inputs!$E$5*$C5))*Inputs!$E$6)+((Inputs!$E$7*(1+Inputs!$E$8)^(2-1))*Inputs!$E$9)+(Inputs!$E$11*(1+Inputs!$E$12)^(2-1))+(IF(2&lt;Inputs!$E$13,0,Inputs!$E$14*(1+Inputs!$E$15)^(2-Inputs!$E$13)*Inputs!$E$16))))*Inputs!$E$26+((((Inputs!$E$3*(1+Inputs!$E$4)^(2-1))*(Inputs!$E$5*$C5))*Inputs!$E$6)+((Inputs!$E$7*(1+Inputs!$E$8)^(2-1))*Inputs!$E$9)+(IF(2&lt;Inputs!$E$13,0,Inputs!$E$14*(1+Inputs!$E$15)^(2-Inputs!$E$13)*Inputs!$E$16)))*Inputs!$E$27+(Inputs!$E$3*(1+Inputs!$E$4)^(2-1))*Inputs!$E$30))+(((Inputs!$E$7*(1+Inputs!$E$8)^(2-1))*Inputs!$E$10))+(((((((Inputs!$E$3*(1+Inputs!$E$4)^(2-1))*(Inputs!$E$5*$C5))*Inputs!$E$6)+((Inputs!$E$7*(1+Inputs!$E$8)^(2-1))*Inputs!$E$9)+(Inputs!$E$11*(1+Inputs!$E$12)^(2-1))+(IF(2&lt;Inputs!$E$13,0,Inputs!$E$14*(1+Inputs!$E$15)^(2-Inputs!$E$13)*Inputs!$E$16))))*Inputs!$E$29))+((Inputs!$E$19+Inputs!$E$20+Inputs!$E$21+Inputs!$E$22+Inputs!$E$23))+(IF(AND(Inputs!$E$24&gt;0,2=Inputs!$E$24),Inputs!$E$25,0))+(MAX((((((((Inputs!$E$3*(1+Inputs!$E$4)^(2-1))*(Inputs!$E$5*$C5))*Inputs!$E$6)+((Inputs!$E$7*(1+Inputs!$E$8)^(2-1))*Inputs!$E$9)+(Inputs!$E$11*(1+Inputs!$E$12)^(2-1))+(IF(2&lt;Inputs!$E$13,0,Inputs!$E$14*(1+Inputs!$E$15)^(2-Inputs!$E$13)*Inputs!$E$16))))-(((((((Inputs!$E$3*(1+Inputs!$E$4)^(2-1))*(Inputs!$E$5*$C5))*Inputs!$E$6)+((Inputs!$E$7*(1+Inputs!$E$8)^(2-1))*Inputs!$E$9)+(Inputs!$E$11*(1+Inputs!$E$12)^(2-1))+(IF(2&lt;Inputs!$E$13,0,Inputs!$E$14*(1+Inputs!$E$15)^(2-Inputs!$E$13)*Inputs!$E$16))))*Inputs!$E$26+((((Inputs!$E$3*(1+Inputs!$E$4)^(2-1))*(Inputs!$E$5*$C5))*Inputs!$E$6)+((Inputs!$E$7*(1+Inputs!$E$8)^(2-1))*Inputs!$E$9)+(IF(2&lt;Inputs!$E$13,0,Inputs!$E$14*(1+Inputs!$E$15)^(2-Inputs!$E$13)*Inputs!$E$16)))*Inputs!$E$27+(Inputs!$E$3*(1+Inputs!$E$4)^(2-1))*Inputs!$E$30))-(((Inputs!$E$7*(1+Inputs!$E$8)^(2-1))*Inputs!$E$10))-(((((((Inputs!$E$3*(1+Inputs!$E$4)^(2-1))*(Inputs!$E$5*$C5))*Inputs!$E$6)+((Inputs!$E$7*(1+Inputs!$E$8)^(2-1))*Inputs!$E$9)+(Inputs!$E$11*(1+Inputs!$E$12)^(2-1))+(IF(2&lt;Inputs!$E$13,0,Inputs!$E$14*(1+Inputs!$E$15)^(2-Inputs!$E$13)*Inputs!$E$16))))*Inputs!$E$29))-((Inputs!$E$19+Inputs!$E$20+Inputs!$E$21+Inputs!$E$22+Inputs!$E$23))-(IF(AND(Inputs!$E$24&gt;0,2=Inputs!$E$24),Inputs!$E$25,0)))),0)*Inputs!$E$28))))+(IF(AND(Inputs!$E$17&gt;0,2=Inputs!$E$17),Inputs!$E$18,0))))</f>
        <v/>
      </c>
      <c r="I5" s="8">
        <f>H5+(((((((((Inputs!$E$3*(1+Inputs!$E$4)^(3-1))*(Inputs!$E$5*$C5))*Inputs!$E$6)+((Inputs!$E$7*(1+Inputs!$E$8)^(3-1))*Inputs!$E$9)+(Inputs!$E$11*(1+Inputs!$E$12)^(3-1))+(IF(3&lt;Inputs!$E$13,0,Inputs!$E$14*(1+Inputs!$E$15)^(3-Inputs!$E$13)*Inputs!$E$16))))-((((((((Inputs!$E$3*(1+Inputs!$E$4)^(3-1))*(Inputs!$E$5*$C5))*Inputs!$E$6)+((Inputs!$E$7*(1+Inputs!$E$8)^(3-1))*Inputs!$E$9)+(Inputs!$E$11*(1+Inputs!$E$12)^(3-1))+(IF(3&lt;Inputs!$E$13,0,Inputs!$E$14*(1+Inputs!$E$15)^(3-Inputs!$E$13)*Inputs!$E$16))))*Inputs!$E$26+((((Inputs!$E$3*(1+Inputs!$E$4)^(3-1))*(Inputs!$E$5*$C5))*Inputs!$E$6)+((Inputs!$E$7*(1+Inputs!$E$8)^(3-1))*Inputs!$E$9)+(IF(3&lt;Inputs!$E$13,0,Inputs!$E$14*(1+Inputs!$E$15)^(3-Inputs!$E$13)*Inputs!$E$16)))*Inputs!$E$27+(Inputs!$E$3*(1+Inputs!$E$4)^(3-1))*Inputs!$E$30))+(((Inputs!$E$7*(1+Inputs!$E$8)^(3-1))*Inputs!$E$10))+(((((((Inputs!$E$3*(1+Inputs!$E$4)^(3-1))*(Inputs!$E$5*$C5))*Inputs!$E$6)+((Inputs!$E$7*(1+Inputs!$E$8)^(3-1))*Inputs!$E$9)+(Inputs!$E$11*(1+Inputs!$E$12)^(3-1))+(IF(3&lt;Inputs!$E$13,0,Inputs!$E$14*(1+Inputs!$E$15)^(3-Inputs!$E$13)*Inputs!$E$16))))*Inputs!$E$29))+((Inputs!$E$19+Inputs!$E$20+Inputs!$E$21+Inputs!$E$22+Inputs!$E$23))+(IF(AND(Inputs!$E$24&gt;0,3=Inputs!$E$24),Inputs!$E$25,0))+(MAX((((((((Inputs!$E$3*(1+Inputs!$E$4)^(3-1))*(Inputs!$E$5*$C5))*Inputs!$E$6)+((Inputs!$E$7*(1+Inputs!$E$8)^(3-1))*Inputs!$E$9)+(Inputs!$E$11*(1+Inputs!$E$12)^(3-1))+(IF(3&lt;Inputs!$E$13,0,Inputs!$E$14*(1+Inputs!$E$15)^(3-Inputs!$E$13)*Inputs!$E$16))))-(((((((Inputs!$E$3*(1+Inputs!$E$4)^(3-1))*(Inputs!$E$5*$C5))*Inputs!$E$6)+((Inputs!$E$7*(1+Inputs!$E$8)^(3-1))*Inputs!$E$9)+(Inputs!$E$11*(1+Inputs!$E$12)^(3-1))+(IF(3&lt;Inputs!$E$13,0,Inputs!$E$14*(1+Inputs!$E$15)^(3-Inputs!$E$13)*Inputs!$E$16))))*Inputs!$E$26+((((Inputs!$E$3*(1+Inputs!$E$4)^(3-1))*(Inputs!$E$5*$C5))*Inputs!$E$6)+((Inputs!$E$7*(1+Inputs!$E$8)^(3-1))*Inputs!$E$9)+(IF(3&lt;Inputs!$E$13,0,Inputs!$E$14*(1+Inputs!$E$15)^(3-Inputs!$E$13)*Inputs!$E$16)))*Inputs!$E$27+(Inputs!$E$3*(1+Inputs!$E$4)^(3-1))*Inputs!$E$30))-(((Inputs!$E$7*(1+Inputs!$E$8)^(3-1))*Inputs!$E$10))-(((((((Inputs!$E$3*(1+Inputs!$E$4)^(3-1))*(Inputs!$E$5*$C5))*Inputs!$E$6)+((Inputs!$E$7*(1+Inputs!$E$8)^(3-1))*Inputs!$E$9)+(Inputs!$E$11*(1+Inputs!$E$12)^(3-1))+(IF(3&lt;Inputs!$E$13,0,Inputs!$E$14*(1+Inputs!$E$15)^(3-Inputs!$E$13)*Inputs!$E$16))))*Inputs!$E$29))-((Inputs!$E$19+Inputs!$E$20+Inputs!$E$21+Inputs!$E$22+Inputs!$E$23))-(IF(AND(Inputs!$E$24&gt;0,3=Inputs!$E$24),Inputs!$E$25,0)))),0)*Inputs!$E$28))))+(IF(AND(Inputs!$E$17&gt;0,3=Inputs!$E$17),Inputs!$E$18,0))))</f>
        <v/>
      </c>
      <c r="J5" s="8">
        <f>I5+(((((((((Inputs!$E$3*(1+Inputs!$E$4)^(4-1))*(Inputs!$E$5*$C5))*Inputs!$E$6)+((Inputs!$E$7*(1+Inputs!$E$8)^(4-1))*Inputs!$E$9)+(Inputs!$E$11*(1+Inputs!$E$12)^(4-1))+(IF(4&lt;Inputs!$E$13,0,Inputs!$E$14*(1+Inputs!$E$15)^(4-Inputs!$E$13)*Inputs!$E$16))))-((((((((Inputs!$E$3*(1+Inputs!$E$4)^(4-1))*(Inputs!$E$5*$C5))*Inputs!$E$6)+((Inputs!$E$7*(1+Inputs!$E$8)^(4-1))*Inputs!$E$9)+(Inputs!$E$11*(1+Inputs!$E$12)^(4-1))+(IF(4&lt;Inputs!$E$13,0,Inputs!$E$14*(1+Inputs!$E$15)^(4-Inputs!$E$13)*Inputs!$E$16))))*Inputs!$E$26+((((Inputs!$E$3*(1+Inputs!$E$4)^(4-1))*(Inputs!$E$5*$C5))*Inputs!$E$6)+((Inputs!$E$7*(1+Inputs!$E$8)^(4-1))*Inputs!$E$9)+(IF(4&lt;Inputs!$E$13,0,Inputs!$E$14*(1+Inputs!$E$15)^(4-Inputs!$E$13)*Inputs!$E$16)))*Inputs!$E$27+(Inputs!$E$3*(1+Inputs!$E$4)^(4-1))*Inputs!$E$30))+(((Inputs!$E$7*(1+Inputs!$E$8)^(4-1))*Inputs!$E$10))+(((((((Inputs!$E$3*(1+Inputs!$E$4)^(4-1))*(Inputs!$E$5*$C5))*Inputs!$E$6)+((Inputs!$E$7*(1+Inputs!$E$8)^(4-1))*Inputs!$E$9)+(Inputs!$E$11*(1+Inputs!$E$12)^(4-1))+(IF(4&lt;Inputs!$E$13,0,Inputs!$E$14*(1+Inputs!$E$15)^(4-Inputs!$E$13)*Inputs!$E$16))))*Inputs!$E$29))+((Inputs!$E$19+Inputs!$E$20+Inputs!$E$21+Inputs!$E$22+Inputs!$E$23))+(IF(AND(Inputs!$E$24&gt;0,4=Inputs!$E$24),Inputs!$E$25,0))+(MAX((((((((Inputs!$E$3*(1+Inputs!$E$4)^(4-1))*(Inputs!$E$5*$C5))*Inputs!$E$6)+((Inputs!$E$7*(1+Inputs!$E$8)^(4-1))*Inputs!$E$9)+(Inputs!$E$11*(1+Inputs!$E$12)^(4-1))+(IF(4&lt;Inputs!$E$13,0,Inputs!$E$14*(1+Inputs!$E$15)^(4-Inputs!$E$13)*Inputs!$E$16))))-(((((((Inputs!$E$3*(1+Inputs!$E$4)^(4-1))*(Inputs!$E$5*$C5))*Inputs!$E$6)+((Inputs!$E$7*(1+Inputs!$E$8)^(4-1))*Inputs!$E$9)+(Inputs!$E$11*(1+Inputs!$E$12)^(4-1))+(IF(4&lt;Inputs!$E$13,0,Inputs!$E$14*(1+Inputs!$E$15)^(4-Inputs!$E$13)*Inputs!$E$16))))*Inputs!$E$26+((((Inputs!$E$3*(1+Inputs!$E$4)^(4-1))*(Inputs!$E$5*$C5))*Inputs!$E$6)+((Inputs!$E$7*(1+Inputs!$E$8)^(4-1))*Inputs!$E$9)+(IF(4&lt;Inputs!$E$13,0,Inputs!$E$14*(1+Inputs!$E$15)^(4-Inputs!$E$13)*Inputs!$E$16)))*Inputs!$E$27+(Inputs!$E$3*(1+Inputs!$E$4)^(4-1))*Inputs!$E$30))-(((Inputs!$E$7*(1+Inputs!$E$8)^(4-1))*Inputs!$E$10))-(((((((Inputs!$E$3*(1+Inputs!$E$4)^(4-1))*(Inputs!$E$5*$C5))*Inputs!$E$6)+((Inputs!$E$7*(1+Inputs!$E$8)^(4-1))*Inputs!$E$9)+(Inputs!$E$11*(1+Inputs!$E$12)^(4-1))+(IF(4&lt;Inputs!$E$13,0,Inputs!$E$14*(1+Inputs!$E$15)^(4-Inputs!$E$13)*Inputs!$E$16))))*Inputs!$E$29))-((Inputs!$E$19+Inputs!$E$20+Inputs!$E$21+Inputs!$E$22+Inputs!$E$23))-(IF(AND(Inputs!$E$24&gt;0,4=Inputs!$E$24),Inputs!$E$25,0)))),0)*Inputs!$E$28))))+(IF(AND(Inputs!$E$17&gt;0,4=Inputs!$E$17),Inputs!$E$18,0))))</f>
        <v/>
      </c>
      <c r="K5" s="8">
        <f>J5+(((((((((Inputs!$E$3*(1+Inputs!$E$4)^(5-1))*(Inputs!$E$5*$C5))*Inputs!$E$6)+((Inputs!$E$7*(1+Inputs!$E$8)^(5-1))*Inputs!$E$9)+(Inputs!$E$11*(1+Inputs!$E$12)^(5-1))+(IF(5&lt;Inputs!$E$13,0,Inputs!$E$14*(1+Inputs!$E$15)^(5-Inputs!$E$13)*Inputs!$E$16))))-((((((((Inputs!$E$3*(1+Inputs!$E$4)^(5-1))*(Inputs!$E$5*$C5))*Inputs!$E$6)+((Inputs!$E$7*(1+Inputs!$E$8)^(5-1))*Inputs!$E$9)+(Inputs!$E$11*(1+Inputs!$E$12)^(5-1))+(IF(5&lt;Inputs!$E$13,0,Inputs!$E$14*(1+Inputs!$E$15)^(5-Inputs!$E$13)*Inputs!$E$16))))*Inputs!$E$26+((((Inputs!$E$3*(1+Inputs!$E$4)^(5-1))*(Inputs!$E$5*$C5))*Inputs!$E$6)+((Inputs!$E$7*(1+Inputs!$E$8)^(5-1))*Inputs!$E$9)+(IF(5&lt;Inputs!$E$13,0,Inputs!$E$14*(1+Inputs!$E$15)^(5-Inputs!$E$13)*Inputs!$E$16)))*Inputs!$E$27+(Inputs!$E$3*(1+Inputs!$E$4)^(5-1))*Inputs!$E$30))+(((Inputs!$E$7*(1+Inputs!$E$8)^(5-1))*Inputs!$E$10))+(((((((Inputs!$E$3*(1+Inputs!$E$4)^(5-1))*(Inputs!$E$5*$C5))*Inputs!$E$6)+((Inputs!$E$7*(1+Inputs!$E$8)^(5-1))*Inputs!$E$9)+(Inputs!$E$11*(1+Inputs!$E$12)^(5-1))+(IF(5&lt;Inputs!$E$13,0,Inputs!$E$14*(1+Inputs!$E$15)^(5-Inputs!$E$13)*Inputs!$E$16))))*Inputs!$E$29))+((Inputs!$E$19+Inputs!$E$20+Inputs!$E$21+Inputs!$E$22+Inputs!$E$23))+(IF(AND(Inputs!$E$24&gt;0,5=Inputs!$E$24),Inputs!$E$25,0))+(MAX((((((((Inputs!$E$3*(1+Inputs!$E$4)^(5-1))*(Inputs!$E$5*$C5))*Inputs!$E$6)+((Inputs!$E$7*(1+Inputs!$E$8)^(5-1))*Inputs!$E$9)+(Inputs!$E$11*(1+Inputs!$E$12)^(5-1))+(IF(5&lt;Inputs!$E$13,0,Inputs!$E$14*(1+Inputs!$E$15)^(5-Inputs!$E$13)*Inputs!$E$16))))-(((((((Inputs!$E$3*(1+Inputs!$E$4)^(5-1))*(Inputs!$E$5*$C5))*Inputs!$E$6)+((Inputs!$E$7*(1+Inputs!$E$8)^(5-1))*Inputs!$E$9)+(Inputs!$E$11*(1+Inputs!$E$12)^(5-1))+(IF(5&lt;Inputs!$E$13,0,Inputs!$E$14*(1+Inputs!$E$15)^(5-Inputs!$E$13)*Inputs!$E$16))))*Inputs!$E$26+((((Inputs!$E$3*(1+Inputs!$E$4)^(5-1))*(Inputs!$E$5*$C5))*Inputs!$E$6)+((Inputs!$E$7*(1+Inputs!$E$8)^(5-1))*Inputs!$E$9)+(IF(5&lt;Inputs!$E$13,0,Inputs!$E$14*(1+Inputs!$E$15)^(5-Inputs!$E$13)*Inputs!$E$16)))*Inputs!$E$27+(Inputs!$E$3*(1+Inputs!$E$4)^(5-1))*Inputs!$E$30))-(((Inputs!$E$7*(1+Inputs!$E$8)^(5-1))*Inputs!$E$10))-(((((((Inputs!$E$3*(1+Inputs!$E$4)^(5-1))*(Inputs!$E$5*$C5))*Inputs!$E$6)+((Inputs!$E$7*(1+Inputs!$E$8)^(5-1))*Inputs!$E$9)+(Inputs!$E$11*(1+Inputs!$E$12)^(5-1))+(IF(5&lt;Inputs!$E$13,0,Inputs!$E$14*(1+Inputs!$E$15)^(5-Inputs!$E$13)*Inputs!$E$16))))*Inputs!$E$29))-((Inputs!$E$19+Inputs!$E$20+Inputs!$E$21+Inputs!$E$22+Inputs!$E$23))-(IF(AND(Inputs!$E$24&gt;0,5=Inputs!$E$24),Inputs!$E$25,0)))),0)*Inputs!$E$28))))+(IF(AND(Inputs!$E$17&gt;0,5=Inputs!$E$17),Inputs!$E$18,0))))</f>
        <v/>
      </c>
      <c r="L5" s="8">
        <f>K5+(((((((((Inputs!$E$3*(1+Inputs!$E$4)^(6-1))*(Inputs!$E$5*$C5))*Inputs!$E$6)+((Inputs!$E$7*(1+Inputs!$E$8)^(6-1))*Inputs!$E$9)+(Inputs!$E$11*(1+Inputs!$E$12)^(6-1))+(IF(6&lt;Inputs!$E$13,0,Inputs!$E$14*(1+Inputs!$E$15)^(6-Inputs!$E$13)*Inputs!$E$16))))-((((((((Inputs!$E$3*(1+Inputs!$E$4)^(6-1))*(Inputs!$E$5*$C5))*Inputs!$E$6)+((Inputs!$E$7*(1+Inputs!$E$8)^(6-1))*Inputs!$E$9)+(Inputs!$E$11*(1+Inputs!$E$12)^(6-1))+(IF(6&lt;Inputs!$E$13,0,Inputs!$E$14*(1+Inputs!$E$15)^(6-Inputs!$E$13)*Inputs!$E$16))))*Inputs!$E$26+((((Inputs!$E$3*(1+Inputs!$E$4)^(6-1))*(Inputs!$E$5*$C5))*Inputs!$E$6)+((Inputs!$E$7*(1+Inputs!$E$8)^(6-1))*Inputs!$E$9)+(IF(6&lt;Inputs!$E$13,0,Inputs!$E$14*(1+Inputs!$E$15)^(6-Inputs!$E$13)*Inputs!$E$16)))*Inputs!$E$27+(Inputs!$E$3*(1+Inputs!$E$4)^(6-1))*Inputs!$E$30))+(((Inputs!$E$7*(1+Inputs!$E$8)^(6-1))*Inputs!$E$10))+(((((((Inputs!$E$3*(1+Inputs!$E$4)^(6-1))*(Inputs!$E$5*$C5))*Inputs!$E$6)+((Inputs!$E$7*(1+Inputs!$E$8)^(6-1))*Inputs!$E$9)+(Inputs!$E$11*(1+Inputs!$E$12)^(6-1))+(IF(6&lt;Inputs!$E$13,0,Inputs!$E$14*(1+Inputs!$E$15)^(6-Inputs!$E$13)*Inputs!$E$16))))*Inputs!$E$29))+((Inputs!$E$19+Inputs!$E$20+Inputs!$E$21+Inputs!$E$22+Inputs!$E$23))+(IF(AND(Inputs!$E$24&gt;0,6=Inputs!$E$24),Inputs!$E$25,0))+(MAX((((((((Inputs!$E$3*(1+Inputs!$E$4)^(6-1))*(Inputs!$E$5*$C5))*Inputs!$E$6)+((Inputs!$E$7*(1+Inputs!$E$8)^(6-1))*Inputs!$E$9)+(Inputs!$E$11*(1+Inputs!$E$12)^(6-1))+(IF(6&lt;Inputs!$E$13,0,Inputs!$E$14*(1+Inputs!$E$15)^(6-Inputs!$E$13)*Inputs!$E$16))))-(((((((Inputs!$E$3*(1+Inputs!$E$4)^(6-1))*(Inputs!$E$5*$C5))*Inputs!$E$6)+((Inputs!$E$7*(1+Inputs!$E$8)^(6-1))*Inputs!$E$9)+(Inputs!$E$11*(1+Inputs!$E$12)^(6-1))+(IF(6&lt;Inputs!$E$13,0,Inputs!$E$14*(1+Inputs!$E$15)^(6-Inputs!$E$13)*Inputs!$E$16))))*Inputs!$E$26+((((Inputs!$E$3*(1+Inputs!$E$4)^(6-1))*(Inputs!$E$5*$C5))*Inputs!$E$6)+((Inputs!$E$7*(1+Inputs!$E$8)^(6-1))*Inputs!$E$9)+(IF(6&lt;Inputs!$E$13,0,Inputs!$E$14*(1+Inputs!$E$15)^(6-Inputs!$E$13)*Inputs!$E$16)))*Inputs!$E$27+(Inputs!$E$3*(1+Inputs!$E$4)^(6-1))*Inputs!$E$30))-(((Inputs!$E$7*(1+Inputs!$E$8)^(6-1))*Inputs!$E$10))-(((((((Inputs!$E$3*(1+Inputs!$E$4)^(6-1))*(Inputs!$E$5*$C5))*Inputs!$E$6)+((Inputs!$E$7*(1+Inputs!$E$8)^(6-1))*Inputs!$E$9)+(Inputs!$E$11*(1+Inputs!$E$12)^(6-1))+(IF(6&lt;Inputs!$E$13,0,Inputs!$E$14*(1+Inputs!$E$15)^(6-Inputs!$E$13)*Inputs!$E$16))))*Inputs!$E$29))-((Inputs!$E$19+Inputs!$E$20+Inputs!$E$21+Inputs!$E$22+Inputs!$E$23))-(IF(AND(Inputs!$E$24&gt;0,6=Inputs!$E$24),Inputs!$E$25,0)))),0)*Inputs!$E$28))))+(IF(AND(Inputs!$E$17&gt;0,6=Inputs!$E$17),Inputs!$E$18,0))))</f>
        <v/>
      </c>
      <c r="M5" s="8">
        <f>L5+(((((((((Inputs!$E$3*(1+Inputs!$E$4)^(7-1))*(Inputs!$E$5*$C5))*Inputs!$E$6)+((Inputs!$E$7*(1+Inputs!$E$8)^(7-1))*Inputs!$E$9)+(Inputs!$E$11*(1+Inputs!$E$12)^(7-1))+(IF(7&lt;Inputs!$E$13,0,Inputs!$E$14*(1+Inputs!$E$15)^(7-Inputs!$E$13)*Inputs!$E$16))))-((((((((Inputs!$E$3*(1+Inputs!$E$4)^(7-1))*(Inputs!$E$5*$C5))*Inputs!$E$6)+((Inputs!$E$7*(1+Inputs!$E$8)^(7-1))*Inputs!$E$9)+(Inputs!$E$11*(1+Inputs!$E$12)^(7-1))+(IF(7&lt;Inputs!$E$13,0,Inputs!$E$14*(1+Inputs!$E$15)^(7-Inputs!$E$13)*Inputs!$E$16))))*Inputs!$E$26+((((Inputs!$E$3*(1+Inputs!$E$4)^(7-1))*(Inputs!$E$5*$C5))*Inputs!$E$6)+((Inputs!$E$7*(1+Inputs!$E$8)^(7-1))*Inputs!$E$9)+(IF(7&lt;Inputs!$E$13,0,Inputs!$E$14*(1+Inputs!$E$15)^(7-Inputs!$E$13)*Inputs!$E$16)))*Inputs!$E$27+(Inputs!$E$3*(1+Inputs!$E$4)^(7-1))*Inputs!$E$30))+(((Inputs!$E$7*(1+Inputs!$E$8)^(7-1))*Inputs!$E$10))+(((((((Inputs!$E$3*(1+Inputs!$E$4)^(7-1))*(Inputs!$E$5*$C5))*Inputs!$E$6)+((Inputs!$E$7*(1+Inputs!$E$8)^(7-1))*Inputs!$E$9)+(Inputs!$E$11*(1+Inputs!$E$12)^(7-1))+(IF(7&lt;Inputs!$E$13,0,Inputs!$E$14*(1+Inputs!$E$15)^(7-Inputs!$E$13)*Inputs!$E$16))))*Inputs!$E$29))+((Inputs!$E$19+Inputs!$E$20+Inputs!$E$21+Inputs!$E$22+Inputs!$E$23))+(IF(AND(Inputs!$E$24&gt;0,7=Inputs!$E$24),Inputs!$E$25,0))+(MAX((((((((Inputs!$E$3*(1+Inputs!$E$4)^(7-1))*(Inputs!$E$5*$C5))*Inputs!$E$6)+((Inputs!$E$7*(1+Inputs!$E$8)^(7-1))*Inputs!$E$9)+(Inputs!$E$11*(1+Inputs!$E$12)^(7-1))+(IF(7&lt;Inputs!$E$13,0,Inputs!$E$14*(1+Inputs!$E$15)^(7-Inputs!$E$13)*Inputs!$E$16))))-(((((((Inputs!$E$3*(1+Inputs!$E$4)^(7-1))*(Inputs!$E$5*$C5))*Inputs!$E$6)+((Inputs!$E$7*(1+Inputs!$E$8)^(7-1))*Inputs!$E$9)+(Inputs!$E$11*(1+Inputs!$E$12)^(7-1))+(IF(7&lt;Inputs!$E$13,0,Inputs!$E$14*(1+Inputs!$E$15)^(7-Inputs!$E$13)*Inputs!$E$16))))*Inputs!$E$26+((((Inputs!$E$3*(1+Inputs!$E$4)^(7-1))*(Inputs!$E$5*$C5))*Inputs!$E$6)+((Inputs!$E$7*(1+Inputs!$E$8)^(7-1))*Inputs!$E$9)+(IF(7&lt;Inputs!$E$13,0,Inputs!$E$14*(1+Inputs!$E$15)^(7-Inputs!$E$13)*Inputs!$E$16)))*Inputs!$E$27+(Inputs!$E$3*(1+Inputs!$E$4)^(7-1))*Inputs!$E$30))-(((Inputs!$E$7*(1+Inputs!$E$8)^(7-1))*Inputs!$E$10))-(((((((Inputs!$E$3*(1+Inputs!$E$4)^(7-1))*(Inputs!$E$5*$C5))*Inputs!$E$6)+((Inputs!$E$7*(1+Inputs!$E$8)^(7-1))*Inputs!$E$9)+(Inputs!$E$11*(1+Inputs!$E$12)^(7-1))+(IF(7&lt;Inputs!$E$13,0,Inputs!$E$14*(1+Inputs!$E$15)^(7-Inputs!$E$13)*Inputs!$E$16))))*Inputs!$E$29))-((Inputs!$E$19+Inputs!$E$20+Inputs!$E$21+Inputs!$E$22+Inputs!$E$23))-(IF(AND(Inputs!$E$24&gt;0,7=Inputs!$E$24),Inputs!$E$25,0)))),0)*Inputs!$E$28))))+(IF(AND(Inputs!$E$17&gt;0,7=Inputs!$E$17),Inputs!$E$18,0))))</f>
        <v/>
      </c>
      <c r="N5" s="8">
        <f>M5+(((((((((Inputs!$E$3*(1+Inputs!$E$4)^(8-1))*(Inputs!$E$5*$C5))*Inputs!$E$6)+((Inputs!$E$7*(1+Inputs!$E$8)^(8-1))*Inputs!$E$9)+(Inputs!$E$11*(1+Inputs!$E$12)^(8-1))+(IF(8&lt;Inputs!$E$13,0,Inputs!$E$14*(1+Inputs!$E$15)^(8-Inputs!$E$13)*Inputs!$E$16))))-((((((((Inputs!$E$3*(1+Inputs!$E$4)^(8-1))*(Inputs!$E$5*$C5))*Inputs!$E$6)+((Inputs!$E$7*(1+Inputs!$E$8)^(8-1))*Inputs!$E$9)+(Inputs!$E$11*(1+Inputs!$E$12)^(8-1))+(IF(8&lt;Inputs!$E$13,0,Inputs!$E$14*(1+Inputs!$E$15)^(8-Inputs!$E$13)*Inputs!$E$16))))*Inputs!$E$26+((((Inputs!$E$3*(1+Inputs!$E$4)^(8-1))*(Inputs!$E$5*$C5))*Inputs!$E$6)+((Inputs!$E$7*(1+Inputs!$E$8)^(8-1))*Inputs!$E$9)+(IF(8&lt;Inputs!$E$13,0,Inputs!$E$14*(1+Inputs!$E$15)^(8-Inputs!$E$13)*Inputs!$E$16)))*Inputs!$E$27+(Inputs!$E$3*(1+Inputs!$E$4)^(8-1))*Inputs!$E$30))+(((Inputs!$E$7*(1+Inputs!$E$8)^(8-1))*Inputs!$E$10))+(((((((Inputs!$E$3*(1+Inputs!$E$4)^(8-1))*(Inputs!$E$5*$C5))*Inputs!$E$6)+((Inputs!$E$7*(1+Inputs!$E$8)^(8-1))*Inputs!$E$9)+(Inputs!$E$11*(1+Inputs!$E$12)^(8-1))+(IF(8&lt;Inputs!$E$13,0,Inputs!$E$14*(1+Inputs!$E$15)^(8-Inputs!$E$13)*Inputs!$E$16))))*Inputs!$E$29))+((Inputs!$E$19+Inputs!$E$20+Inputs!$E$21+Inputs!$E$22+Inputs!$E$23))+(IF(AND(Inputs!$E$24&gt;0,8=Inputs!$E$24),Inputs!$E$25,0))+(MAX((((((((Inputs!$E$3*(1+Inputs!$E$4)^(8-1))*(Inputs!$E$5*$C5))*Inputs!$E$6)+((Inputs!$E$7*(1+Inputs!$E$8)^(8-1))*Inputs!$E$9)+(Inputs!$E$11*(1+Inputs!$E$12)^(8-1))+(IF(8&lt;Inputs!$E$13,0,Inputs!$E$14*(1+Inputs!$E$15)^(8-Inputs!$E$13)*Inputs!$E$16))))-(((((((Inputs!$E$3*(1+Inputs!$E$4)^(8-1))*(Inputs!$E$5*$C5))*Inputs!$E$6)+((Inputs!$E$7*(1+Inputs!$E$8)^(8-1))*Inputs!$E$9)+(Inputs!$E$11*(1+Inputs!$E$12)^(8-1))+(IF(8&lt;Inputs!$E$13,0,Inputs!$E$14*(1+Inputs!$E$15)^(8-Inputs!$E$13)*Inputs!$E$16))))*Inputs!$E$26+((((Inputs!$E$3*(1+Inputs!$E$4)^(8-1))*(Inputs!$E$5*$C5))*Inputs!$E$6)+((Inputs!$E$7*(1+Inputs!$E$8)^(8-1))*Inputs!$E$9)+(IF(8&lt;Inputs!$E$13,0,Inputs!$E$14*(1+Inputs!$E$15)^(8-Inputs!$E$13)*Inputs!$E$16)))*Inputs!$E$27+(Inputs!$E$3*(1+Inputs!$E$4)^(8-1))*Inputs!$E$30))-(((Inputs!$E$7*(1+Inputs!$E$8)^(8-1))*Inputs!$E$10))-(((((((Inputs!$E$3*(1+Inputs!$E$4)^(8-1))*(Inputs!$E$5*$C5))*Inputs!$E$6)+((Inputs!$E$7*(1+Inputs!$E$8)^(8-1))*Inputs!$E$9)+(Inputs!$E$11*(1+Inputs!$E$12)^(8-1))+(IF(8&lt;Inputs!$E$13,0,Inputs!$E$14*(1+Inputs!$E$15)^(8-Inputs!$E$13)*Inputs!$E$16))))*Inputs!$E$29))-((Inputs!$E$19+Inputs!$E$20+Inputs!$E$21+Inputs!$E$22+Inputs!$E$23))-(IF(AND(Inputs!$E$24&gt;0,8=Inputs!$E$24),Inputs!$E$25,0)))),0)*Inputs!$E$28))))+(IF(AND(Inputs!$E$17&gt;0,8=Inputs!$E$17),Inputs!$E$18,0))))</f>
        <v/>
      </c>
      <c r="O5" s="8">
        <f>N5+(((((((((Inputs!$E$3*(1+Inputs!$E$4)^(9-1))*(Inputs!$E$5*$C5))*Inputs!$E$6)+((Inputs!$E$7*(1+Inputs!$E$8)^(9-1))*Inputs!$E$9)+(Inputs!$E$11*(1+Inputs!$E$12)^(9-1))+(IF(9&lt;Inputs!$E$13,0,Inputs!$E$14*(1+Inputs!$E$15)^(9-Inputs!$E$13)*Inputs!$E$16))))-((((((((Inputs!$E$3*(1+Inputs!$E$4)^(9-1))*(Inputs!$E$5*$C5))*Inputs!$E$6)+((Inputs!$E$7*(1+Inputs!$E$8)^(9-1))*Inputs!$E$9)+(Inputs!$E$11*(1+Inputs!$E$12)^(9-1))+(IF(9&lt;Inputs!$E$13,0,Inputs!$E$14*(1+Inputs!$E$15)^(9-Inputs!$E$13)*Inputs!$E$16))))*Inputs!$E$26+((((Inputs!$E$3*(1+Inputs!$E$4)^(9-1))*(Inputs!$E$5*$C5))*Inputs!$E$6)+((Inputs!$E$7*(1+Inputs!$E$8)^(9-1))*Inputs!$E$9)+(IF(9&lt;Inputs!$E$13,0,Inputs!$E$14*(1+Inputs!$E$15)^(9-Inputs!$E$13)*Inputs!$E$16)))*Inputs!$E$27+(Inputs!$E$3*(1+Inputs!$E$4)^(9-1))*Inputs!$E$30))+(((Inputs!$E$7*(1+Inputs!$E$8)^(9-1))*Inputs!$E$10))+(((((((Inputs!$E$3*(1+Inputs!$E$4)^(9-1))*(Inputs!$E$5*$C5))*Inputs!$E$6)+((Inputs!$E$7*(1+Inputs!$E$8)^(9-1))*Inputs!$E$9)+(Inputs!$E$11*(1+Inputs!$E$12)^(9-1))+(IF(9&lt;Inputs!$E$13,0,Inputs!$E$14*(1+Inputs!$E$15)^(9-Inputs!$E$13)*Inputs!$E$16))))*Inputs!$E$29))+((Inputs!$E$19+Inputs!$E$20+Inputs!$E$21+Inputs!$E$22+Inputs!$E$23))+(IF(AND(Inputs!$E$24&gt;0,9=Inputs!$E$24),Inputs!$E$25,0))+(MAX((((((((Inputs!$E$3*(1+Inputs!$E$4)^(9-1))*(Inputs!$E$5*$C5))*Inputs!$E$6)+((Inputs!$E$7*(1+Inputs!$E$8)^(9-1))*Inputs!$E$9)+(Inputs!$E$11*(1+Inputs!$E$12)^(9-1))+(IF(9&lt;Inputs!$E$13,0,Inputs!$E$14*(1+Inputs!$E$15)^(9-Inputs!$E$13)*Inputs!$E$16))))-(((((((Inputs!$E$3*(1+Inputs!$E$4)^(9-1))*(Inputs!$E$5*$C5))*Inputs!$E$6)+((Inputs!$E$7*(1+Inputs!$E$8)^(9-1))*Inputs!$E$9)+(Inputs!$E$11*(1+Inputs!$E$12)^(9-1))+(IF(9&lt;Inputs!$E$13,0,Inputs!$E$14*(1+Inputs!$E$15)^(9-Inputs!$E$13)*Inputs!$E$16))))*Inputs!$E$26+((((Inputs!$E$3*(1+Inputs!$E$4)^(9-1))*(Inputs!$E$5*$C5))*Inputs!$E$6)+((Inputs!$E$7*(1+Inputs!$E$8)^(9-1))*Inputs!$E$9)+(IF(9&lt;Inputs!$E$13,0,Inputs!$E$14*(1+Inputs!$E$15)^(9-Inputs!$E$13)*Inputs!$E$16)))*Inputs!$E$27+(Inputs!$E$3*(1+Inputs!$E$4)^(9-1))*Inputs!$E$30))-(((Inputs!$E$7*(1+Inputs!$E$8)^(9-1))*Inputs!$E$10))-(((((((Inputs!$E$3*(1+Inputs!$E$4)^(9-1))*(Inputs!$E$5*$C5))*Inputs!$E$6)+((Inputs!$E$7*(1+Inputs!$E$8)^(9-1))*Inputs!$E$9)+(Inputs!$E$11*(1+Inputs!$E$12)^(9-1))+(IF(9&lt;Inputs!$E$13,0,Inputs!$E$14*(1+Inputs!$E$15)^(9-Inputs!$E$13)*Inputs!$E$16))))*Inputs!$E$29))-((Inputs!$E$19+Inputs!$E$20+Inputs!$E$21+Inputs!$E$22+Inputs!$E$23))-(IF(AND(Inputs!$E$24&gt;0,9=Inputs!$E$24),Inputs!$E$25,0)))),0)*Inputs!$E$28))))+(IF(AND(Inputs!$E$17&gt;0,9=Inputs!$E$17),Inputs!$E$18,0))))</f>
        <v/>
      </c>
      <c r="P5" s="8">
        <f>O5+(((((((((Inputs!$E$3*(1+Inputs!$E$4)^(10-1))*(Inputs!$E$5*$C5))*Inputs!$E$6)+((Inputs!$E$7*(1+Inputs!$E$8)^(10-1))*Inputs!$E$9)+(Inputs!$E$11*(1+Inputs!$E$12)^(10-1))+(IF(10&lt;Inputs!$E$13,0,Inputs!$E$14*(1+Inputs!$E$15)^(10-Inputs!$E$13)*Inputs!$E$16))))-((((((((Inputs!$E$3*(1+Inputs!$E$4)^(10-1))*(Inputs!$E$5*$C5))*Inputs!$E$6)+((Inputs!$E$7*(1+Inputs!$E$8)^(10-1))*Inputs!$E$9)+(Inputs!$E$11*(1+Inputs!$E$12)^(10-1))+(IF(10&lt;Inputs!$E$13,0,Inputs!$E$14*(1+Inputs!$E$15)^(10-Inputs!$E$13)*Inputs!$E$16))))*Inputs!$E$26+((((Inputs!$E$3*(1+Inputs!$E$4)^(10-1))*(Inputs!$E$5*$C5))*Inputs!$E$6)+((Inputs!$E$7*(1+Inputs!$E$8)^(10-1))*Inputs!$E$9)+(IF(10&lt;Inputs!$E$13,0,Inputs!$E$14*(1+Inputs!$E$15)^(10-Inputs!$E$13)*Inputs!$E$16)))*Inputs!$E$27+(Inputs!$E$3*(1+Inputs!$E$4)^(10-1))*Inputs!$E$30))+(((Inputs!$E$7*(1+Inputs!$E$8)^(10-1))*Inputs!$E$10))+(((((((Inputs!$E$3*(1+Inputs!$E$4)^(10-1))*(Inputs!$E$5*$C5))*Inputs!$E$6)+((Inputs!$E$7*(1+Inputs!$E$8)^(10-1))*Inputs!$E$9)+(Inputs!$E$11*(1+Inputs!$E$12)^(10-1))+(IF(10&lt;Inputs!$E$13,0,Inputs!$E$14*(1+Inputs!$E$15)^(10-Inputs!$E$13)*Inputs!$E$16))))*Inputs!$E$29))+((Inputs!$E$19+Inputs!$E$20+Inputs!$E$21+Inputs!$E$22+Inputs!$E$23))+(IF(AND(Inputs!$E$24&gt;0,10=Inputs!$E$24),Inputs!$E$25,0))+(MAX((((((((Inputs!$E$3*(1+Inputs!$E$4)^(10-1))*(Inputs!$E$5*$C5))*Inputs!$E$6)+((Inputs!$E$7*(1+Inputs!$E$8)^(10-1))*Inputs!$E$9)+(Inputs!$E$11*(1+Inputs!$E$12)^(10-1))+(IF(10&lt;Inputs!$E$13,0,Inputs!$E$14*(1+Inputs!$E$15)^(10-Inputs!$E$13)*Inputs!$E$16))))-(((((((Inputs!$E$3*(1+Inputs!$E$4)^(10-1))*(Inputs!$E$5*$C5))*Inputs!$E$6)+((Inputs!$E$7*(1+Inputs!$E$8)^(10-1))*Inputs!$E$9)+(Inputs!$E$11*(1+Inputs!$E$12)^(10-1))+(IF(10&lt;Inputs!$E$13,0,Inputs!$E$14*(1+Inputs!$E$15)^(10-Inputs!$E$13)*Inputs!$E$16))))*Inputs!$E$26+((((Inputs!$E$3*(1+Inputs!$E$4)^(10-1))*(Inputs!$E$5*$C5))*Inputs!$E$6)+((Inputs!$E$7*(1+Inputs!$E$8)^(10-1))*Inputs!$E$9)+(IF(10&lt;Inputs!$E$13,0,Inputs!$E$14*(1+Inputs!$E$15)^(10-Inputs!$E$13)*Inputs!$E$16)))*Inputs!$E$27+(Inputs!$E$3*(1+Inputs!$E$4)^(10-1))*Inputs!$E$30))-(((Inputs!$E$7*(1+Inputs!$E$8)^(10-1))*Inputs!$E$10))-(((((((Inputs!$E$3*(1+Inputs!$E$4)^(10-1))*(Inputs!$E$5*$C5))*Inputs!$E$6)+((Inputs!$E$7*(1+Inputs!$E$8)^(10-1))*Inputs!$E$9)+(Inputs!$E$11*(1+Inputs!$E$12)^(10-1))+(IF(10&lt;Inputs!$E$13,0,Inputs!$E$14*(1+Inputs!$E$15)^(10-Inputs!$E$13)*Inputs!$E$16))))*Inputs!$E$29))-((Inputs!$E$19+Inputs!$E$20+Inputs!$E$21+Inputs!$E$22+Inputs!$E$23))-(IF(AND(Inputs!$E$24&gt;0,10=Inputs!$E$24),Inputs!$E$25,0)))),0)*Inputs!$E$28))))+(IF(AND(Inputs!$E$17&gt;0,10=Inputs!$E$17),Inputs!$E$18,0))))</f>
        <v/>
      </c>
      <c r="Q5" s="8">
        <f>P5+(((((((((Inputs!$E$3*(1+Inputs!$E$4)^(11-1))*(Inputs!$E$5*$C5))*Inputs!$E$6)+((Inputs!$E$7*(1+Inputs!$E$8)^(11-1))*Inputs!$E$9)+(Inputs!$E$11*(1+Inputs!$E$12)^(11-1))+(IF(11&lt;Inputs!$E$13,0,Inputs!$E$14*(1+Inputs!$E$15)^(11-Inputs!$E$13)*Inputs!$E$16))))-((((((((Inputs!$E$3*(1+Inputs!$E$4)^(11-1))*(Inputs!$E$5*$C5))*Inputs!$E$6)+((Inputs!$E$7*(1+Inputs!$E$8)^(11-1))*Inputs!$E$9)+(Inputs!$E$11*(1+Inputs!$E$12)^(11-1))+(IF(11&lt;Inputs!$E$13,0,Inputs!$E$14*(1+Inputs!$E$15)^(11-Inputs!$E$13)*Inputs!$E$16))))*Inputs!$E$26+((((Inputs!$E$3*(1+Inputs!$E$4)^(11-1))*(Inputs!$E$5*$C5))*Inputs!$E$6)+((Inputs!$E$7*(1+Inputs!$E$8)^(11-1))*Inputs!$E$9)+(IF(11&lt;Inputs!$E$13,0,Inputs!$E$14*(1+Inputs!$E$15)^(11-Inputs!$E$13)*Inputs!$E$16)))*Inputs!$E$27+(Inputs!$E$3*(1+Inputs!$E$4)^(11-1))*Inputs!$E$30))+(((Inputs!$E$7*(1+Inputs!$E$8)^(11-1))*Inputs!$E$10))+(((((((Inputs!$E$3*(1+Inputs!$E$4)^(11-1))*(Inputs!$E$5*$C5))*Inputs!$E$6)+((Inputs!$E$7*(1+Inputs!$E$8)^(11-1))*Inputs!$E$9)+(Inputs!$E$11*(1+Inputs!$E$12)^(11-1))+(IF(11&lt;Inputs!$E$13,0,Inputs!$E$14*(1+Inputs!$E$15)^(11-Inputs!$E$13)*Inputs!$E$16))))*Inputs!$E$29))+((Inputs!$E$19+Inputs!$E$20+Inputs!$E$21+Inputs!$E$22+Inputs!$E$23))+(IF(AND(Inputs!$E$24&gt;0,11=Inputs!$E$24),Inputs!$E$25,0))+(MAX((((((((Inputs!$E$3*(1+Inputs!$E$4)^(11-1))*(Inputs!$E$5*$C5))*Inputs!$E$6)+((Inputs!$E$7*(1+Inputs!$E$8)^(11-1))*Inputs!$E$9)+(Inputs!$E$11*(1+Inputs!$E$12)^(11-1))+(IF(11&lt;Inputs!$E$13,0,Inputs!$E$14*(1+Inputs!$E$15)^(11-Inputs!$E$13)*Inputs!$E$16))))-(((((((Inputs!$E$3*(1+Inputs!$E$4)^(11-1))*(Inputs!$E$5*$C5))*Inputs!$E$6)+((Inputs!$E$7*(1+Inputs!$E$8)^(11-1))*Inputs!$E$9)+(Inputs!$E$11*(1+Inputs!$E$12)^(11-1))+(IF(11&lt;Inputs!$E$13,0,Inputs!$E$14*(1+Inputs!$E$15)^(11-Inputs!$E$13)*Inputs!$E$16))))*Inputs!$E$26+((((Inputs!$E$3*(1+Inputs!$E$4)^(11-1))*(Inputs!$E$5*$C5))*Inputs!$E$6)+((Inputs!$E$7*(1+Inputs!$E$8)^(11-1))*Inputs!$E$9)+(IF(11&lt;Inputs!$E$13,0,Inputs!$E$14*(1+Inputs!$E$15)^(11-Inputs!$E$13)*Inputs!$E$16)))*Inputs!$E$27+(Inputs!$E$3*(1+Inputs!$E$4)^(11-1))*Inputs!$E$30))-(((Inputs!$E$7*(1+Inputs!$E$8)^(11-1))*Inputs!$E$10))-(((((((Inputs!$E$3*(1+Inputs!$E$4)^(11-1))*(Inputs!$E$5*$C5))*Inputs!$E$6)+((Inputs!$E$7*(1+Inputs!$E$8)^(11-1))*Inputs!$E$9)+(Inputs!$E$11*(1+Inputs!$E$12)^(11-1))+(IF(11&lt;Inputs!$E$13,0,Inputs!$E$14*(1+Inputs!$E$15)^(11-Inputs!$E$13)*Inputs!$E$16))))*Inputs!$E$29))-((Inputs!$E$19+Inputs!$E$20+Inputs!$E$21+Inputs!$E$22+Inputs!$E$23))-(IF(AND(Inputs!$E$24&gt;0,11=Inputs!$E$24),Inputs!$E$25,0)))),0)*Inputs!$E$28))))+(IF(AND(Inputs!$E$17&gt;0,11=Inputs!$E$17),Inputs!$E$18,0))))</f>
        <v/>
      </c>
      <c r="R5" s="8">
        <f>Q5+(((((((((Inputs!$E$3*(1+Inputs!$E$4)^(12-1))*(Inputs!$E$5*$C5))*Inputs!$E$6)+((Inputs!$E$7*(1+Inputs!$E$8)^(12-1))*Inputs!$E$9)+(Inputs!$E$11*(1+Inputs!$E$12)^(12-1))+(IF(12&lt;Inputs!$E$13,0,Inputs!$E$14*(1+Inputs!$E$15)^(12-Inputs!$E$13)*Inputs!$E$16))))-((((((((Inputs!$E$3*(1+Inputs!$E$4)^(12-1))*(Inputs!$E$5*$C5))*Inputs!$E$6)+((Inputs!$E$7*(1+Inputs!$E$8)^(12-1))*Inputs!$E$9)+(Inputs!$E$11*(1+Inputs!$E$12)^(12-1))+(IF(12&lt;Inputs!$E$13,0,Inputs!$E$14*(1+Inputs!$E$15)^(12-Inputs!$E$13)*Inputs!$E$16))))*Inputs!$E$26+((((Inputs!$E$3*(1+Inputs!$E$4)^(12-1))*(Inputs!$E$5*$C5))*Inputs!$E$6)+((Inputs!$E$7*(1+Inputs!$E$8)^(12-1))*Inputs!$E$9)+(IF(12&lt;Inputs!$E$13,0,Inputs!$E$14*(1+Inputs!$E$15)^(12-Inputs!$E$13)*Inputs!$E$16)))*Inputs!$E$27+(Inputs!$E$3*(1+Inputs!$E$4)^(12-1))*Inputs!$E$30))+(((Inputs!$E$7*(1+Inputs!$E$8)^(12-1))*Inputs!$E$10))+(((((((Inputs!$E$3*(1+Inputs!$E$4)^(12-1))*(Inputs!$E$5*$C5))*Inputs!$E$6)+((Inputs!$E$7*(1+Inputs!$E$8)^(12-1))*Inputs!$E$9)+(Inputs!$E$11*(1+Inputs!$E$12)^(12-1))+(IF(12&lt;Inputs!$E$13,0,Inputs!$E$14*(1+Inputs!$E$15)^(12-Inputs!$E$13)*Inputs!$E$16))))*Inputs!$E$29))+((Inputs!$E$19+Inputs!$E$20+Inputs!$E$21+Inputs!$E$22+Inputs!$E$23))+(IF(AND(Inputs!$E$24&gt;0,12=Inputs!$E$24),Inputs!$E$25,0))+(MAX((((((((Inputs!$E$3*(1+Inputs!$E$4)^(12-1))*(Inputs!$E$5*$C5))*Inputs!$E$6)+((Inputs!$E$7*(1+Inputs!$E$8)^(12-1))*Inputs!$E$9)+(Inputs!$E$11*(1+Inputs!$E$12)^(12-1))+(IF(12&lt;Inputs!$E$13,0,Inputs!$E$14*(1+Inputs!$E$15)^(12-Inputs!$E$13)*Inputs!$E$16))))-(((((((Inputs!$E$3*(1+Inputs!$E$4)^(12-1))*(Inputs!$E$5*$C5))*Inputs!$E$6)+((Inputs!$E$7*(1+Inputs!$E$8)^(12-1))*Inputs!$E$9)+(Inputs!$E$11*(1+Inputs!$E$12)^(12-1))+(IF(12&lt;Inputs!$E$13,0,Inputs!$E$14*(1+Inputs!$E$15)^(12-Inputs!$E$13)*Inputs!$E$16))))*Inputs!$E$26+((((Inputs!$E$3*(1+Inputs!$E$4)^(12-1))*(Inputs!$E$5*$C5))*Inputs!$E$6)+((Inputs!$E$7*(1+Inputs!$E$8)^(12-1))*Inputs!$E$9)+(IF(12&lt;Inputs!$E$13,0,Inputs!$E$14*(1+Inputs!$E$15)^(12-Inputs!$E$13)*Inputs!$E$16)))*Inputs!$E$27+(Inputs!$E$3*(1+Inputs!$E$4)^(12-1))*Inputs!$E$30))-(((Inputs!$E$7*(1+Inputs!$E$8)^(12-1))*Inputs!$E$10))-(((((((Inputs!$E$3*(1+Inputs!$E$4)^(12-1))*(Inputs!$E$5*$C5))*Inputs!$E$6)+((Inputs!$E$7*(1+Inputs!$E$8)^(12-1))*Inputs!$E$9)+(Inputs!$E$11*(1+Inputs!$E$12)^(12-1))+(IF(12&lt;Inputs!$E$13,0,Inputs!$E$14*(1+Inputs!$E$15)^(12-Inputs!$E$13)*Inputs!$E$16))))*Inputs!$E$29))-((Inputs!$E$19+Inputs!$E$20+Inputs!$E$21+Inputs!$E$22+Inputs!$E$23))-(IF(AND(Inputs!$E$24&gt;0,12=Inputs!$E$24),Inputs!$E$25,0)))),0)*Inputs!$E$28))))+(IF(AND(Inputs!$E$17&gt;0,12=Inputs!$E$17),Inputs!$E$18,0))))</f>
        <v/>
      </c>
      <c r="S5" s="8">
        <f>R5+(((((((((Inputs!$E$3*(1+Inputs!$E$4)^(13-1))*(Inputs!$E$5*$C5))*Inputs!$E$6)+((Inputs!$E$7*(1+Inputs!$E$8)^(13-1))*Inputs!$E$9)+(Inputs!$E$11*(1+Inputs!$E$12)^(13-1))+(IF(13&lt;Inputs!$E$13,0,Inputs!$E$14*(1+Inputs!$E$15)^(13-Inputs!$E$13)*Inputs!$E$16))))-((((((((Inputs!$E$3*(1+Inputs!$E$4)^(13-1))*(Inputs!$E$5*$C5))*Inputs!$E$6)+((Inputs!$E$7*(1+Inputs!$E$8)^(13-1))*Inputs!$E$9)+(Inputs!$E$11*(1+Inputs!$E$12)^(13-1))+(IF(13&lt;Inputs!$E$13,0,Inputs!$E$14*(1+Inputs!$E$15)^(13-Inputs!$E$13)*Inputs!$E$16))))*Inputs!$E$26+((((Inputs!$E$3*(1+Inputs!$E$4)^(13-1))*(Inputs!$E$5*$C5))*Inputs!$E$6)+((Inputs!$E$7*(1+Inputs!$E$8)^(13-1))*Inputs!$E$9)+(IF(13&lt;Inputs!$E$13,0,Inputs!$E$14*(1+Inputs!$E$15)^(13-Inputs!$E$13)*Inputs!$E$16)))*Inputs!$E$27+(Inputs!$E$3*(1+Inputs!$E$4)^(13-1))*Inputs!$E$30))+(((Inputs!$E$7*(1+Inputs!$E$8)^(13-1))*Inputs!$E$10))+(((((((Inputs!$E$3*(1+Inputs!$E$4)^(13-1))*(Inputs!$E$5*$C5))*Inputs!$E$6)+((Inputs!$E$7*(1+Inputs!$E$8)^(13-1))*Inputs!$E$9)+(Inputs!$E$11*(1+Inputs!$E$12)^(13-1))+(IF(13&lt;Inputs!$E$13,0,Inputs!$E$14*(1+Inputs!$E$15)^(13-Inputs!$E$13)*Inputs!$E$16))))*Inputs!$E$29))+((Inputs!$E$19+Inputs!$E$20+Inputs!$E$21+Inputs!$E$22+Inputs!$E$23))+(IF(AND(Inputs!$E$24&gt;0,13=Inputs!$E$24),Inputs!$E$25,0))+(MAX((((((((Inputs!$E$3*(1+Inputs!$E$4)^(13-1))*(Inputs!$E$5*$C5))*Inputs!$E$6)+((Inputs!$E$7*(1+Inputs!$E$8)^(13-1))*Inputs!$E$9)+(Inputs!$E$11*(1+Inputs!$E$12)^(13-1))+(IF(13&lt;Inputs!$E$13,0,Inputs!$E$14*(1+Inputs!$E$15)^(13-Inputs!$E$13)*Inputs!$E$16))))-(((((((Inputs!$E$3*(1+Inputs!$E$4)^(13-1))*(Inputs!$E$5*$C5))*Inputs!$E$6)+((Inputs!$E$7*(1+Inputs!$E$8)^(13-1))*Inputs!$E$9)+(Inputs!$E$11*(1+Inputs!$E$12)^(13-1))+(IF(13&lt;Inputs!$E$13,0,Inputs!$E$14*(1+Inputs!$E$15)^(13-Inputs!$E$13)*Inputs!$E$16))))*Inputs!$E$26+((((Inputs!$E$3*(1+Inputs!$E$4)^(13-1))*(Inputs!$E$5*$C5))*Inputs!$E$6)+((Inputs!$E$7*(1+Inputs!$E$8)^(13-1))*Inputs!$E$9)+(IF(13&lt;Inputs!$E$13,0,Inputs!$E$14*(1+Inputs!$E$15)^(13-Inputs!$E$13)*Inputs!$E$16)))*Inputs!$E$27+(Inputs!$E$3*(1+Inputs!$E$4)^(13-1))*Inputs!$E$30))-(((Inputs!$E$7*(1+Inputs!$E$8)^(13-1))*Inputs!$E$10))-(((((((Inputs!$E$3*(1+Inputs!$E$4)^(13-1))*(Inputs!$E$5*$C5))*Inputs!$E$6)+((Inputs!$E$7*(1+Inputs!$E$8)^(13-1))*Inputs!$E$9)+(Inputs!$E$11*(1+Inputs!$E$12)^(13-1))+(IF(13&lt;Inputs!$E$13,0,Inputs!$E$14*(1+Inputs!$E$15)^(13-Inputs!$E$13)*Inputs!$E$16))))*Inputs!$E$29))-((Inputs!$E$19+Inputs!$E$20+Inputs!$E$21+Inputs!$E$22+Inputs!$E$23))-(IF(AND(Inputs!$E$24&gt;0,13=Inputs!$E$24),Inputs!$E$25,0)))),0)*Inputs!$E$28))))+(IF(AND(Inputs!$E$17&gt;0,13=Inputs!$E$17),Inputs!$E$18,0))))</f>
        <v/>
      </c>
      <c r="T5" s="8">
        <f>S5+(((((((((Inputs!$E$3*(1+Inputs!$E$4)^(14-1))*(Inputs!$E$5*$C5))*Inputs!$E$6)+((Inputs!$E$7*(1+Inputs!$E$8)^(14-1))*Inputs!$E$9)+(Inputs!$E$11*(1+Inputs!$E$12)^(14-1))+(IF(14&lt;Inputs!$E$13,0,Inputs!$E$14*(1+Inputs!$E$15)^(14-Inputs!$E$13)*Inputs!$E$16))))-((((((((Inputs!$E$3*(1+Inputs!$E$4)^(14-1))*(Inputs!$E$5*$C5))*Inputs!$E$6)+((Inputs!$E$7*(1+Inputs!$E$8)^(14-1))*Inputs!$E$9)+(Inputs!$E$11*(1+Inputs!$E$12)^(14-1))+(IF(14&lt;Inputs!$E$13,0,Inputs!$E$14*(1+Inputs!$E$15)^(14-Inputs!$E$13)*Inputs!$E$16))))*Inputs!$E$26+((((Inputs!$E$3*(1+Inputs!$E$4)^(14-1))*(Inputs!$E$5*$C5))*Inputs!$E$6)+((Inputs!$E$7*(1+Inputs!$E$8)^(14-1))*Inputs!$E$9)+(IF(14&lt;Inputs!$E$13,0,Inputs!$E$14*(1+Inputs!$E$15)^(14-Inputs!$E$13)*Inputs!$E$16)))*Inputs!$E$27+(Inputs!$E$3*(1+Inputs!$E$4)^(14-1))*Inputs!$E$30))+(((Inputs!$E$7*(1+Inputs!$E$8)^(14-1))*Inputs!$E$10))+(((((((Inputs!$E$3*(1+Inputs!$E$4)^(14-1))*(Inputs!$E$5*$C5))*Inputs!$E$6)+((Inputs!$E$7*(1+Inputs!$E$8)^(14-1))*Inputs!$E$9)+(Inputs!$E$11*(1+Inputs!$E$12)^(14-1))+(IF(14&lt;Inputs!$E$13,0,Inputs!$E$14*(1+Inputs!$E$15)^(14-Inputs!$E$13)*Inputs!$E$16))))*Inputs!$E$29))+((Inputs!$E$19+Inputs!$E$20+Inputs!$E$21+Inputs!$E$22+Inputs!$E$23))+(IF(AND(Inputs!$E$24&gt;0,14=Inputs!$E$24),Inputs!$E$25,0))+(MAX((((((((Inputs!$E$3*(1+Inputs!$E$4)^(14-1))*(Inputs!$E$5*$C5))*Inputs!$E$6)+((Inputs!$E$7*(1+Inputs!$E$8)^(14-1))*Inputs!$E$9)+(Inputs!$E$11*(1+Inputs!$E$12)^(14-1))+(IF(14&lt;Inputs!$E$13,0,Inputs!$E$14*(1+Inputs!$E$15)^(14-Inputs!$E$13)*Inputs!$E$16))))-(((((((Inputs!$E$3*(1+Inputs!$E$4)^(14-1))*(Inputs!$E$5*$C5))*Inputs!$E$6)+((Inputs!$E$7*(1+Inputs!$E$8)^(14-1))*Inputs!$E$9)+(Inputs!$E$11*(1+Inputs!$E$12)^(14-1))+(IF(14&lt;Inputs!$E$13,0,Inputs!$E$14*(1+Inputs!$E$15)^(14-Inputs!$E$13)*Inputs!$E$16))))*Inputs!$E$26+((((Inputs!$E$3*(1+Inputs!$E$4)^(14-1))*(Inputs!$E$5*$C5))*Inputs!$E$6)+((Inputs!$E$7*(1+Inputs!$E$8)^(14-1))*Inputs!$E$9)+(IF(14&lt;Inputs!$E$13,0,Inputs!$E$14*(1+Inputs!$E$15)^(14-Inputs!$E$13)*Inputs!$E$16)))*Inputs!$E$27+(Inputs!$E$3*(1+Inputs!$E$4)^(14-1))*Inputs!$E$30))-(((Inputs!$E$7*(1+Inputs!$E$8)^(14-1))*Inputs!$E$10))-(((((((Inputs!$E$3*(1+Inputs!$E$4)^(14-1))*(Inputs!$E$5*$C5))*Inputs!$E$6)+((Inputs!$E$7*(1+Inputs!$E$8)^(14-1))*Inputs!$E$9)+(Inputs!$E$11*(1+Inputs!$E$12)^(14-1))+(IF(14&lt;Inputs!$E$13,0,Inputs!$E$14*(1+Inputs!$E$15)^(14-Inputs!$E$13)*Inputs!$E$16))))*Inputs!$E$29))-((Inputs!$E$19+Inputs!$E$20+Inputs!$E$21+Inputs!$E$22+Inputs!$E$23))-(IF(AND(Inputs!$E$24&gt;0,14=Inputs!$E$24),Inputs!$E$25,0)))),0)*Inputs!$E$28))))+(IF(AND(Inputs!$E$17&gt;0,14=Inputs!$E$17),Inputs!$E$18,0))))</f>
        <v/>
      </c>
      <c r="U5" s="8">
        <f>T5+(((((((((Inputs!$E$3*(1+Inputs!$E$4)^(15-1))*(Inputs!$E$5*$C5))*Inputs!$E$6)+((Inputs!$E$7*(1+Inputs!$E$8)^(15-1))*Inputs!$E$9)+(Inputs!$E$11*(1+Inputs!$E$12)^(15-1))+(IF(15&lt;Inputs!$E$13,0,Inputs!$E$14*(1+Inputs!$E$15)^(15-Inputs!$E$13)*Inputs!$E$16))))-((((((((Inputs!$E$3*(1+Inputs!$E$4)^(15-1))*(Inputs!$E$5*$C5))*Inputs!$E$6)+((Inputs!$E$7*(1+Inputs!$E$8)^(15-1))*Inputs!$E$9)+(Inputs!$E$11*(1+Inputs!$E$12)^(15-1))+(IF(15&lt;Inputs!$E$13,0,Inputs!$E$14*(1+Inputs!$E$15)^(15-Inputs!$E$13)*Inputs!$E$16))))*Inputs!$E$26+((((Inputs!$E$3*(1+Inputs!$E$4)^(15-1))*(Inputs!$E$5*$C5))*Inputs!$E$6)+((Inputs!$E$7*(1+Inputs!$E$8)^(15-1))*Inputs!$E$9)+(IF(15&lt;Inputs!$E$13,0,Inputs!$E$14*(1+Inputs!$E$15)^(15-Inputs!$E$13)*Inputs!$E$16)))*Inputs!$E$27+(Inputs!$E$3*(1+Inputs!$E$4)^(15-1))*Inputs!$E$30))+(((Inputs!$E$7*(1+Inputs!$E$8)^(15-1))*Inputs!$E$10))+(((((((Inputs!$E$3*(1+Inputs!$E$4)^(15-1))*(Inputs!$E$5*$C5))*Inputs!$E$6)+((Inputs!$E$7*(1+Inputs!$E$8)^(15-1))*Inputs!$E$9)+(Inputs!$E$11*(1+Inputs!$E$12)^(15-1))+(IF(15&lt;Inputs!$E$13,0,Inputs!$E$14*(1+Inputs!$E$15)^(15-Inputs!$E$13)*Inputs!$E$16))))*Inputs!$E$29))+((Inputs!$E$19+Inputs!$E$20+Inputs!$E$21+Inputs!$E$22+Inputs!$E$23))+(IF(AND(Inputs!$E$24&gt;0,15=Inputs!$E$24),Inputs!$E$25,0))+(MAX((((((((Inputs!$E$3*(1+Inputs!$E$4)^(15-1))*(Inputs!$E$5*$C5))*Inputs!$E$6)+((Inputs!$E$7*(1+Inputs!$E$8)^(15-1))*Inputs!$E$9)+(Inputs!$E$11*(1+Inputs!$E$12)^(15-1))+(IF(15&lt;Inputs!$E$13,0,Inputs!$E$14*(1+Inputs!$E$15)^(15-Inputs!$E$13)*Inputs!$E$16))))-(((((((Inputs!$E$3*(1+Inputs!$E$4)^(15-1))*(Inputs!$E$5*$C5))*Inputs!$E$6)+((Inputs!$E$7*(1+Inputs!$E$8)^(15-1))*Inputs!$E$9)+(Inputs!$E$11*(1+Inputs!$E$12)^(15-1))+(IF(15&lt;Inputs!$E$13,0,Inputs!$E$14*(1+Inputs!$E$15)^(15-Inputs!$E$13)*Inputs!$E$16))))*Inputs!$E$26+((((Inputs!$E$3*(1+Inputs!$E$4)^(15-1))*(Inputs!$E$5*$C5))*Inputs!$E$6)+((Inputs!$E$7*(1+Inputs!$E$8)^(15-1))*Inputs!$E$9)+(IF(15&lt;Inputs!$E$13,0,Inputs!$E$14*(1+Inputs!$E$15)^(15-Inputs!$E$13)*Inputs!$E$16)))*Inputs!$E$27+(Inputs!$E$3*(1+Inputs!$E$4)^(15-1))*Inputs!$E$30))-(((Inputs!$E$7*(1+Inputs!$E$8)^(15-1))*Inputs!$E$10))-(((((((Inputs!$E$3*(1+Inputs!$E$4)^(15-1))*(Inputs!$E$5*$C5))*Inputs!$E$6)+((Inputs!$E$7*(1+Inputs!$E$8)^(15-1))*Inputs!$E$9)+(Inputs!$E$11*(1+Inputs!$E$12)^(15-1))+(IF(15&lt;Inputs!$E$13,0,Inputs!$E$14*(1+Inputs!$E$15)^(15-Inputs!$E$13)*Inputs!$E$16))))*Inputs!$E$29))-((Inputs!$E$19+Inputs!$E$20+Inputs!$E$21+Inputs!$E$22+Inputs!$E$23))-(IF(AND(Inputs!$E$24&gt;0,15=Inputs!$E$24),Inputs!$E$25,0)))),0)*Inputs!$E$28))))+(IF(AND(Inputs!$E$17&gt;0,15=Inputs!$E$17),Inputs!$E$18,0))))</f>
        <v/>
      </c>
      <c r="V5" s="8">
        <f>U5+(((((((((Inputs!$E$3*(1+Inputs!$E$4)^(16-1))*(Inputs!$E$5*$C5))*Inputs!$E$6)+((Inputs!$E$7*(1+Inputs!$E$8)^(16-1))*Inputs!$E$9)+(Inputs!$E$11*(1+Inputs!$E$12)^(16-1))+(IF(16&lt;Inputs!$E$13,0,Inputs!$E$14*(1+Inputs!$E$15)^(16-Inputs!$E$13)*Inputs!$E$16))))-((((((((Inputs!$E$3*(1+Inputs!$E$4)^(16-1))*(Inputs!$E$5*$C5))*Inputs!$E$6)+((Inputs!$E$7*(1+Inputs!$E$8)^(16-1))*Inputs!$E$9)+(Inputs!$E$11*(1+Inputs!$E$12)^(16-1))+(IF(16&lt;Inputs!$E$13,0,Inputs!$E$14*(1+Inputs!$E$15)^(16-Inputs!$E$13)*Inputs!$E$16))))*Inputs!$E$26+((((Inputs!$E$3*(1+Inputs!$E$4)^(16-1))*(Inputs!$E$5*$C5))*Inputs!$E$6)+((Inputs!$E$7*(1+Inputs!$E$8)^(16-1))*Inputs!$E$9)+(IF(16&lt;Inputs!$E$13,0,Inputs!$E$14*(1+Inputs!$E$15)^(16-Inputs!$E$13)*Inputs!$E$16)))*Inputs!$E$27+(Inputs!$E$3*(1+Inputs!$E$4)^(16-1))*Inputs!$E$30))+(((Inputs!$E$7*(1+Inputs!$E$8)^(16-1))*Inputs!$E$10))+(((((((Inputs!$E$3*(1+Inputs!$E$4)^(16-1))*(Inputs!$E$5*$C5))*Inputs!$E$6)+((Inputs!$E$7*(1+Inputs!$E$8)^(16-1))*Inputs!$E$9)+(Inputs!$E$11*(1+Inputs!$E$12)^(16-1))+(IF(16&lt;Inputs!$E$13,0,Inputs!$E$14*(1+Inputs!$E$15)^(16-Inputs!$E$13)*Inputs!$E$16))))*Inputs!$E$29))+((Inputs!$E$19+Inputs!$E$20+Inputs!$E$21+Inputs!$E$22+Inputs!$E$23))+(IF(AND(Inputs!$E$24&gt;0,16=Inputs!$E$24),Inputs!$E$25,0))+(MAX((((((((Inputs!$E$3*(1+Inputs!$E$4)^(16-1))*(Inputs!$E$5*$C5))*Inputs!$E$6)+((Inputs!$E$7*(1+Inputs!$E$8)^(16-1))*Inputs!$E$9)+(Inputs!$E$11*(1+Inputs!$E$12)^(16-1))+(IF(16&lt;Inputs!$E$13,0,Inputs!$E$14*(1+Inputs!$E$15)^(16-Inputs!$E$13)*Inputs!$E$16))))-(((((((Inputs!$E$3*(1+Inputs!$E$4)^(16-1))*(Inputs!$E$5*$C5))*Inputs!$E$6)+((Inputs!$E$7*(1+Inputs!$E$8)^(16-1))*Inputs!$E$9)+(Inputs!$E$11*(1+Inputs!$E$12)^(16-1))+(IF(16&lt;Inputs!$E$13,0,Inputs!$E$14*(1+Inputs!$E$15)^(16-Inputs!$E$13)*Inputs!$E$16))))*Inputs!$E$26+((((Inputs!$E$3*(1+Inputs!$E$4)^(16-1))*(Inputs!$E$5*$C5))*Inputs!$E$6)+((Inputs!$E$7*(1+Inputs!$E$8)^(16-1))*Inputs!$E$9)+(IF(16&lt;Inputs!$E$13,0,Inputs!$E$14*(1+Inputs!$E$15)^(16-Inputs!$E$13)*Inputs!$E$16)))*Inputs!$E$27+(Inputs!$E$3*(1+Inputs!$E$4)^(16-1))*Inputs!$E$30))-(((Inputs!$E$7*(1+Inputs!$E$8)^(16-1))*Inputs!$E$10))-(((((((Inputs!$E$3*(1+Inputs!$E$4)^(16-1))*(Inputs!$E$5*$C5))*Inputs!$E$6)+((Inputs!$E$7*(1+Inputs!$E$8)^(16-1))*Inputs!$E$9)+(Inputs!$E$11*(1+Inputs!$E$12)^(16-1))+(IF(16&lt;Inputs!$E$13,0,Inputs!$E$14*(1+Inputs!$E$15)^(16-Inputs!$E$13)*Inputs!$E$16))))*Inputs!$E$29))-((Inputs!$E$19+Inputs!$E$20+Inputs!$E$21+Inputs!$E$22+Inputs!$E$23))-(IF(AND(Inputs!$E$24&gt;0,16=Inputs!$E$24),Inputs!$E$25,0)))),0)*Inputs!$E$28))))+(IF(AND(Inputs!$E$17&gt;0,16=Inputs!$E$17),Inputs!$E$18,0))))</f>
        <v/>
      </c>
      <c r="W5" s="8">
        <f>V5+(((((((((Inputs!$E$3*(1+Inputs!$E$4)^(17-1))*(Inputs!$E$5*$C5))*Inputs!$E$6)+((Inputs!$E$7*(1+Inputs!$E$8)^(17-1))*Inputs!$E$9)+(Inputs!$E$11*(1+Inputs!$E$12)^(17-1))+(IF(17&lt;Inputs!$E$13,0,Inputs!$E$14*(1+Inputs!$E$15)^(17-Inputs!$E$13)*Inputs!$E$16))))-((((((((Inputs!$E$3*(1+Inputs!$E$4)^(17-1))*(Inputs!$E$5*$C5))*Inputs!$E$6)+((Inputs!$E$7*(1+Inputs!$E$8)^(17-1))*Inputs!$E$9)+(Inputs!$E$11*(1+Inputs!$E$12)^(17-1))+(IF(17&lt;Inputs!$E$13,0,Inputs!$E$14*(1+Inputs!$E$15)^(17-Inputs!$E$13)*Inputs!$E$16))))*Inputs!$E$26+((((Inputs!$E$3*(1+Inputs!$E$4)^(17-1))*(Inputs!$E$5*$C5))*Inputs!$E$6)+((Inputs!$E$7*(1+Inputs!$E$8)^(17-1))*Inputs!$E$9)+(IF(17&lt;Inputs!$E$13,0,Inputs!$E$14*(1+Inputs!$E$15)^(17-Inputs!$E$13)*Inputs!$E$16)))*Inputs!$E$27+(Inputs!$E$3*(1+Inputs!$E$4)^(17-1))*Inputs!$E$30))+(((Inputs!$E$7*(1+Inputs!$E$8)^(17-1))*Inputs!$E$10))+(((((((Inputs!$E$3*(1+Inputs!$E$4)^(17-1))*(Inputs!$E$5*$C5))*Inputs!$E$6)+((Inputs!$E$7*(1+Inputs!$E$8)^(17-1))*Inputs!$E$9)+(Inputs!$E$11*(1+Inputs!$E$12)^(17-1))+(IF(17&lt;Inputs!$E$13,0,Inputs!$E$14*(1+Inputs!$E$15)^(17-Inputs!$E$13)*Inputs!$E$16))))*Inputs!$E$29))+((Inputs!$E$19+Inputs!$E$20+Inputs!$E$21+Inputs!$E$22+Inputs!$E$23))+(IF(AND(Inputs!$E$24&gt;0,17=Inputs!$E$24),Inputs!$E$25,0))+(MAX((((((((Inputs!$E$3*(1+Inputs!$E$4)^(17-1))*(Inputs!$E$5*$C5))*Inputs!$E$6)+((Inputs!$E$7*(1+Inputs!$E$8)^(17-1))*Inputs!$E$9)+(Inputs!$E$11*(1+Inputs!$E$12)^(17-1))+(IF(17&lt;Inputs!$E$13,0,Inputs!$E$14*(1+Inputs!$E$15)^(17-Inputs!$E$13)*Inputs!$E$16))))-(((((((Inputs!$E$3*(1+Inputs!$E$4)^(17-1))*(Inputs!$E$5*$C5))*Inputs!$E$6)+((Inputs!$E$7*(1+Inputs!$E$8)^(17-1))*Inputs!$E$9)+(Inputs!$E$11*(1+Inputs!$E$12)^(17-1))+(IF(17&lt;Inputs!$E$13,0,Inputs!$E$14*(1+Inputs!$E$15)^(17-Inputs!$E$13)*Inputs!$E$16))))*Inputs!$E$26+((((Inputs!$E$3*(1+Inputs!$E$4)^(17-1))*(Inputs!$E$5*$C5))*Inputs!$E$6)+((Inputs!$E$7*(1+Inputs!$E$8)^(17-1))*Inputs!$E$9)+(IF(17&lt;Inputs!$E$13,0,Inputs!$E$14*(1+Inputs!$E$15)^(17-Inputs!$E$13)*Inputs!$E$16)))*Inputs!$E$27+(Inputs!$E$3*(1+Inputs!$E$4)^(17-1))*Inputs!$E$30))-(((Inputs!$E$7*(1+Inputs!$E$8)^(17-1))*Inputs!$E$10))-(((((((Inputs!$E$3*(1+Inputs!$E$4)^(17-1))*(Inputs!$E$5*$C5))*Inputs!$E$6)+((Inputs!$E$7*(1+Inputs!$E$8)^(17-1))*Inputs!$E$9)+(Inputs!$E$11*(1+Inputs!$E$12)^(17-1))+(IF(17&lt;Inputs!$E$13,0,Inputs!$E$14*(1+Inputs!$E$15)^(17-Inputs!$E$13)*Inputs!$E$16))))*Inputs!$E$29))-((Inputs!$E$19+Inputs!$E$20+Inputs!$E$21+Inputs!$E$22+Inputs!$E$23))-(IF(AND(Inputs!$E$24&gt;0,17=Inputs!$E$24),Inputs!$E$25,0)))),0)*Inputs!$E$28))))+(IF(AND(Inputs!$E$17&gt;0,17=Inputs!$E$17),Inputs!$E$18,0))))</f>
        <v/>
      </c>
      <c r="X5" s="8">
        <f>W5+(((((((((Inputs!$E$3*(1+Inputs!$E$4)^(18-1))*(Inputs!$E$5*$C5))*Inputs!$E$6)+((Inputs!$E$7*(1+Inputs!$E$8)^(18-1))*Inputs!$E$9)+(Inputs!$E$11*(1+Inputs!$E$12)^(18-1))+(IF(18&lt;Inputs!$E$13,0,Inputs!$E$14*(1+Inputs!$E$15)^(18-Inputs!$E$13)*Inputs!$E$16))))-((((((((Inputs!$E$3*(1+Inputs!$E$4)^(18-1))*(Inputs!$E$5*$C5))*Inputs!$E$6)+((Inputs!$E$7*(1+Inputs!$E$8)^(18-1))*Inputs!$E$9)+(Inputs!$E$11*(1+Inputs!$E$12)^(18-1))+(IF(18&lt;Inputs!$E$13,0,Inputs!$E$14*(1+Inputs!$E$15)^(18-Inputs!$E$13)*Inputs!$E$16))))*Inputs!$E$26+((((Inputs!$E$3*(1+Inputs!$E$4)^(18-1))*(Inputs!$E$5*$C5))*Inputs!$E$6)+((Inputs!$E$7*(1+Inputs!$E$8)^(18-1))*Inputs!$E$9)+(IF(18&lt;Inputs!$E$13,0,Inputs!$E$14*(1+Inputs!$E$15)^(18-Inputs!$E$13)*Inputs!$E$16)))*Inputs!$E$27+(Inputs!$E$3*(1+Inputs!$E$4)^(18-1))*Inputs!$E$30))+(((Inputs!$E$7*(1+Inputs!$E$8)^(18-1))*Inputs!$E$10))+(((((((Inputs!$E$3*(1+Inputs!$E$4)^(18-1))*(Inputs!$E$5*$C5))*Inputs!$E$6)+((Inputs!$E$7*(1+Inputs!$E$8)^(18-1))*Inputs!$E$9)+(Inputs!$E$11*(1+Inputs!$E$12)^(18-1))+(IF(18&lt;Inputs!$E$13,0,Inputs!$E$14*(1+Inputs!$E$15)^(18-Inputs!$E$13)*Inputs!$E$16))))*Inputs!$E$29))+((Inputs!$E$19+Inputs!$E$20+Inputs!$E$21+Inputs!$E$22+Inputs!$E$23))+(IF(AND(Inputs!$E$24&gt;0,18=Inputs!$E$24),Inputs!$E$25,0))+(MAX((((((((Inputs!$E$3*(1+Inputs!$E$4)^(18-1))*(Inputs!$E$5*$C5))*Inputs!$E$6)+((Inputs!$E$7*(1+Inputs!$E$8)^(18-1))*Inputs!$E$9)+(Inputs!$E$11*(1+Inputs!$E$12)^(18-1))+(IF(18&lt;Inputs!$E$13,0,Inputs!$E$14*(1+Inputs!$E$15)^(18-Inputs!$E$13)*Inputs!$E$16))))-(((((((Inputs!$E$3*(1+Inputs!$E$4)^(18-1))*(Inputs!$E$5*$C5))*Inputs!$E$6)+((Inputs!$E$7*(1+Inputs!$E$8)^(18-1))*Inputs!$E$9)+(Inputs!$E$11*(1+Inputs!$E$12)^(18-1))+(IF(18&lt;Inputs!$E$13,0,Inputs!$E$14*(1+Inputs!$E$15)^(18-Inputs!$E$13)*Inputs!$E$16))))*Inputs!$E$26+((((Inputs!$E$3*(1+Inputs!$E$4)^(18-1))*(Inputs!$E$5*$C5))*Inputs!$E$6)+((Inputs!$E$7*(1+Inputs!$E$8)^(18-1))*Inputs!$E$9)+(IF(18&lt;Inputs!$E$13,0,Inputs!$E$14*(1+Inputs!$E$15)^(18-Inputs!$E$13)*Inputs!$E$16)))*Inputs!$E$27+(Inputs!$E$3*(1+Inputs!$E$4)^(18-1))*Inputs!$E$30))-(((Inputs!$E$7*(1+Inputs!$E$8)^(18-1))*Inputs!$E$10))-(((((((Inputs!$E$3*(1+Inputs!$E$4)^(18-1))*(Inputs!$E$5*$C5))*Inputs!$E$6)+((Inputs!$E$7*(1+Inputs!$E$8)^(18-1))*Inputs!$E$9)+(Inputs!$E$11*(1+Inputs!$E$12)^(18-1))+(IF(18&lt;Inputs!$E$13,0,Inputs!$E$14*(1+Inputs!$E$15)^(18-Inputs!$E$13)*Inputs!$E$16))))*Inputs!$E$29))-((Inputs!$E$19+Inputs!$E$20+Inputs!$E$21+Inputs!$E$22+Inputs!$E$23))-(IF(AND(Inputs!$E$24&gt;0,18=Inputs!$E$24),Inputs!$E$25,0)))),0)*Inputs!$E$28))))+(IF(AND(Inputs!$E$17&gt;0,18=Inputs!$E$17),Inputs!$E$18,0))))</f>
        <v/>
      </c>
      <c r="Y5" s="8">
        <f>X5+(((((((((Inputs!$E$3*(1+Inputs!$E$4)^(19-1))*(Inputs!$E$5*$C5))*Inputs!$E$6)+((Inputs!$E$7*(1+Inputs!$E$8)^(19-1))*Inputs!$E$9)+(Inputs!$E$11*(1+Inputs!$E$12)^(19-1))+(IF(19&lt;Inputs!$E$13,0,Inputs!$E$14*(1+Inputs!$E$15)^(19-Inputs!$E$13)*Inputs!$E$16))))-((((((((Inputs!$E$3*(1+Inputs!$E$4)^(19-1))*(Inputs!$E$5*$C5))*Inputs!$E$6)+((Inputs!$E$7*(1+Inputs!$E$8)^(19-1))*Inputs!$E$9)+(Inputs!$E$11*(1+Inputs!$E$12)^(19-1))+(IF(19&lt;Inputs!$E$13,0,Inputs!$E$14*(1+Inputs!$E$15)^(19-Inputs!$E$13)*Inputs!$E$16))))*Inputs!$E$26+((((Inputs!$E$3*(1+Inputs!$E$4)^(19-1))*(Inputs!$E$5*$C5))*Inputs!$E$6)+((Inputs!$E$7*(1+Inputs!$E$8)^(19-1))*Inputs!$E$9)+(IF(19&lt;Inputs!$E$13,0,Inputs!$E$14*(1+Inputs!$E$15)^(19-Inputs!$E$13)*Inputs!$E$16)))*Inputs!$E$27+(Inputs!$E$3*(1+Inputs!$E$4)^(19-1))*Inputs!$E$30))+(((Inputs!$E$7*(1+Inputs!$E$8)^(19-1))*Inputs!$E$10))+(((((((Inputs!$E$3*(1+Inputs!$E$4)^(19-1))*(Inputs!$E$5*$C5))*Inputs!$E$6)+((Inputs!$E$7*(1+Inputs!$E$8)^(19-1))*Inputs!$E$9)+(Inputs!$E$11*(1+Inputs!$E$12)^(19-1))+(IF(19&lt;Inputs!$E$13,0,Inputs!$E$14*(1+Inputs!$E$15)^(19-Inputs!$E$13)*Inputs!$E$16))))*Inputs!$E$29))+((Inputs!$E$19+Inputs!$E$20+Inputs!$E$21+Inputs!$E$22+Inputs!$E$23))+(IF(AND(Inputs!$E$24&gt;0,19=Inputs!$E$24),Inputs!$E$25,0))+(MAX((((((((Inputs!$E$3*(1+Inputs!$E$4)^(19-1))*(Inputs!$E$5*$C5))*Inputs!$E$6)+((Inputs!$E$7*(1+Inputs!$E$8)^(19-1))*Inputs!$E$9)+(Inputs!$E$11*(1+Inputs!$E$12)^(19-1))+(IF(19&lt;Inputs!$E$13,0,Inputs!$E$14*(1+Inputs!$E$15)^(19-Inputs!$E$13)*Inputs!$E$16))))-(((((((Inputs!$E$3*(1+Inputs!$E$4)^(19-1))*(Inputs!$E$5*$C5))*Inputs!$E$6)+((Inputs!$E$7*(1+Inputs!$E$8)^(19-1))*Inputs!$E$9)+(Inputs!$E$11*(1+Inputs!$E$12)^(19-1))+(IF(19&lt;Inputs!$E$13,0,Inputs!$E$14*(1+Inputs!$E$15)^(19-Inputs!$E$13)*Inputs!$E$16))))*Inputs!$E$26+((((Inputs!$E$3*(1+Inputs!$E$4)^(19-1))*(Inputs!$E$5*$C5))*Inputs!$E$6)+((Inputs!$E$7*(1+Inputs!$E$8)^(19-1))*Inputs!$E$9)+(IF(19&lt;Inputs!$E$13,0,Inputs!$E$14*(1+Inputs!$E$15)^(19-Inputs!$E$13)*Inputs!$E$16)))*Inputs!$E$27+(Inputs!$E$3*(1+Inputs!$E$4)^(19-1))*Inputs!$E$30))-(((Inputs!$E$7*(1+Inputs!$E$8)^(19-1))*Inputs!$E$10))-(((((((Inputs!$E$3*(1+Inputs!$E$4)^(19-1))*(Inputs!$E$5*$C5))*Inputs!$E$6)+((Inputs!$E$7*(1+Inputs!$E$8)^(19-1))*Inputs!$E$9)+(Inputs!$E$11*(1+Inputs!$E$12)^(19-1))+(IF(19&lt;Inputs!$E$13,0,Inputs!$E$14*(1+Inputs!$E$15)^(19-Inputs!$E$13)*Inputs!$E$16))))*Inputs!$E$29))-((Inputs!$E$19+Inputs!$E$20+Inputs!$E$21+Inputs!$E$22+Inputs!$E$23))-(IF(AND(Inputs!$E$24&gt;0,19=Inputs!$E$24),Inputs!$E$25,0)))),0)*Inputs!$E$28))))+(IF(AND(Inputs!$E$17&gt;0,19=Inputs!$E$17),Inputs!$E$18,0))))</f>
        <v/>
      </c>
      <c r="Z5" s="8">
        <f>Y5+(((((((((Inputs!$E$3*(1+Inputs!$E$4)^(20-1))*(Inputs!$E$5*$C5))*Inputs!$E$6)+((Inputs!$E$7*(1+Inputs!$E$8)^(20-1))*Inputs!$E$9)+(Inputs!$E$11*(1+Inputs!$E$12)^(20-1))+(IF(20&lt;Inputs!$E$13,0,Inputs!$E$14*(1+Inputs!$E$15)^(20-Inputs!$E$13)*Inputs!$E$16))))-((((((((Inputs!$E$3*(1+Inputs!$E$4)^(20-1))*(Inputs!$E$5*$C5))*Inputs!$E$6)+((Inputs!$E$7*(1+Inputs!$E$8)^(20-1))*Inputs!$E$9)+(Inputs!$E$11*(1+Inputs!$E$12)^(20-1))+(IF(20&lt;Inputs!$E$13,0,Inputs!$E$14*(1+Inputs!$E$15)^(20-Inputs!$E$13)*Inputs!$E$16))))*Inputs!$E$26+((((Inputs!$E$3*(1+Inputs!$E$4)^(20-1))*(Inputs!$E$5*$C5))*Inputs!$E$6)+((Inputs!$E$7*(1+Inputs!$E$8)^(20-1))*Inputs!$E$9)+(IF(20&lt;Inputs!$E$13,0,Inputs!$E$14*(1+Inputs!$E$15)^(20-Inputs!$E$13)*Inputs!$E$16)))*Inputs!$E$27+(Inputs!$E$3*(1+Inputs!$E$4)^(20-1))*Inputs!$E$30))+(((Inputs!$E$7*(1+Inputs!$E$8)^(20-1))*Inputs!$E$10))+(((((((Inputs!$E$3*(1+Inputs!$E$4)^(20-1))*(Inputs!$E$5*$C5))*Inputs!$E$6)+((Inputs!$E$7*(1+Inputs!$E$8)^(20-1))*Inputs!$E$9)+(Inputs!$E$11*(1+Inputs!$E$12)^(20-1))+(IF(20&lt;Inputs!$E$13,0,Inputs!$E$14*(1+Inputs!$E$15)^(20-Inputs!$E$13)*Inputs!$E$16))))*Inputs!$E$29))+((Inputs!$E$19+Inputs!$E$20+Inputs!$E$21+Inputs!$E$22+Inputs!$E$23))+(IF(AND(Inputs!$E$24&gt;0,20=Inputs!$E$24),Inputs!$E$25,0))+(MAX((((((((Inputs!$E$3*(1+Inputs!$E$4)^(20-1))*(Inputs!$E$5*$C5))*Inputs!$E$6)+((Inputs!$E$7*(1+Inputs!$E$8)^(20-1))*Inputs!$E$9)+(Inputs!$E$11*(1+Inputs!$E$12)^(20-1))+(IF(20&lt;Inputs!$E$13,0,Inputs!$E$14*(1+Inputs!$E$15)^(20-Inputs!$E$13)*Inputs!$E$16))))-(((((((Inputs!$E$3*(1+Inputs!$E$4)^(20-1))*(Inputs!$E$5*$C5))*Inputs!$E$6)+((Inputs!$E$7*(1+Inputs!$E$8)^(20-1))*Inputs!$E$9)+(Inputs!$E$11*(1+Inputs!$E$12)^(20-1))+(IF(20&lt;Inputs!$E$13,0,Inputs!$E$14*(1+Inputs!$E$15)^(20-Inputs!$E$13)*Inputs!$E$16))))*Inputs!$E$26+((((Inputs!$E$3*(1+Inputs!$E$4)^(20-1))*(Inputs!$E$5*$C5))*Inputs!$E$6)+((Inputs!$E$7*(1+Inputs!$E$8)^(20-1))*Inputs!$E$9)+(IF(20&lt;Inputs!$E$13,0,Inputs!$E$14*(1+Inputs!$E$15)^(20-Inputs!$E$13)*Inputs!$E$16)))*Inputs!$E$27+(Inputs!$E$3*(1+Inputs!$E$4)^(20-1))*Inputs!$E$30))-(((Inputs!$E$7*(1+Inputs!$E$8)^(20-1))*Inputs!$E$10))-(((((((Inputs!$E$3*(1+Inputs!$E$4)^(20-1))*(Inputs!$E$5*$C5))*Inputs!$E$6)+((Inputs!$E$7*(1+Inputs!$E$8)^(20-1))*Inputs!$E$9)+(Inputs!$E$11*(1+Inputs!$E$12)^(20-1))+(IF(20&lt;Inputs!$E$13,0,Inputs!$E$14*(1+Inputs!$E$15)^(20-Inputs!$E$13)*Inputs!$E$16))))*Inputs!$E$29))-((Inputs!$E$19+Inputs!$E$20+Inputs!$E$21+Inputs!$E$22+Inputs!$E$23))-(IF(AND(Inputs!$E$24&gt;0,20=Inputs!$E$24),Inputs!$E$25,0)))),0)*Inputs!$E$28))))+(IF(AND(Inputs!$E$17&gt;0,20=Inputs!$E$17),Inputs!$E$18,0))))</f>
        <v/>
      </c>
      <c r="AA5" s="8">
        <f>Z5+(((((((((Inputs!$E$3*(1+Inputs!$E$4)^(21-1))*(Inputs!$E$5*$C5))*Inputs!$E$6)+((Inputs!$E$7*(1+Inputs!$E$8)^(21-1))*Inputs!$E$9)+(Inputs!$E$11*(1+Inputs!$E$12)^(21-1))+(IF(21&lt;Inputs!$E$13,0,Inputs!$E$14*(1+Inputs!$E$15)^(21-Inputs!$E$13)*Inputs!$E$16))))-((((((((Inputs!$E$3*(1+Inputs!$E$4)^(21-1))*(Inputs!$E$5*$C5))*Inputs!$E$6)+((Inputs!$E$7*(1+Inputs!$E$8)^(21-1))*Inputs!$E$9)+(Inputs!$E$11*(1+Inputs!$E$12)^(21-1))+(IF(21&lt;Inputs!$E$13,0,Inputs!$E$14*(1+Inputs!$E$15)^(21-Inputs!$E$13)*Inputs!$E$16))))*Inputs!$E$26+((((Inputs!$E$3*(1+Inputs!$E$4)^(21-1))*(Inputs!$E$5*$C5))*Inputs!$E$6)+((Inputs!$E$7*(1+Inputs!$E$8)^(21-1))*Inputs!$E$9)+(IF(21&lt;Inputs!$E$13,0,Inputs!$E$14*(1+Inputs!$E$15)^(21-Inputs!$E$13)*Inputs!$E$16)))*Inputs!$E$27+(Inputs!$E$3*(1+Inputs!$E$4)^(21-1))*Inputs!$E$30))+(((Inputs!$E$7*(1+Inputs!$E$8)^(21-1))*Inputs!$E$10))+(((((((Inputs!$E$3*(1+Inputs!$E$4)^(21-1))*(Inputs!$E$5*$C5))*Inputs!$E$6)+((Inputs!$E$7*(1+Inputs!$E$8)^(21-1))*Inputs!$E$9)+(Inputs!$E$11*(1+Inputs!$E$12)^(21-1))+(IF(21&lt;Inputs!$E$13,0,Inputs!$E$14*(1+Inputs!$E$15)^(21-Inputs!$E$13)*Inputs!$E$16))))*Inputs!$E$29))+((Inputs!$E$19+Inputs!$E$20+Inputs!$E$21+Inputs!$E$22+Inputs!$E$23))+(IF(AND(Inputs!$E$24&gt;0,21=Inputs!$E$24),Inputs!$E$25,0))+(MAX((((((((Inputs!$E$3*(1+Inputs!$E$4)^(21-1))*(Inputs!$E$5*$C5))*Inputs!$E$6)+((Inputs!$E$7*(1+Inputs!$E$8)^(21-1))*Inputs!$E$9)+(Inputs!$E$11*(1+Inputs!$E$12)^(21-1))+(IF(21&lt;Inputs!$E$13,0,Inputs!$E$14*(1+Inputs!$E$15)^(21-Inputs!$E$13)*Inputs!$E$16))))-(((((((Inputs!$E$3*(1+Inputs!$E$4)^(21-1))*(Inputs!$E$5*$C5))*Inputs!$E$6)+((Inputs!$E$7*(1+Inputs!$E$8)^(21-1))*Inputs!$E$9)+(Inputs!$E$11*(1+Inputs!$E$12)^(21-1))+(IF(21&lt;Inputs!$E$13,0,Inputs!$E$14*(1+Inputs!$E$15)^(21-Inputs!$E$13)*Inputs!$E$16))))*Inputs!$E$26+((((Inputs!$E$3*(1+Inputs!$E$4)^(21-1))*(Inputs!$E$5*$C5))*Inputs!$E$6)+((Inputs!$E$7*(1+Inputs!$E$8)^(21-1))*Inputs!$E$9)+(IF(21&lt;Inputs!$E$13,0,Inputs!$E$14*(1+Inputs!$E$15)^(21-Inputs!$E$13)*Inputs!$E$16)))*Inputs!$E$27+(Inputs!$E$3*(1+Inputs!$E$4)^(21-1))*Inputs!$E$30))-(((Inputs!$E$7*(1+Inputs!$E$8)^(21-1))*Inputs!$E$10))-(((((((Inputs!$E$3*(1+Inputs!$E$4)^(21-1))*(Inputs!$E$5*$C5))*Inputs!$E$6)+((Inputs!$E$7*(1+Inputs!$E$8)^(21-1))*Inputs!$E$9)+(Inputs!$E$11*(1+Inputs!$E$12)^(21-1))+(IF(21&lt;Inputs!$E$13,0,Inputs!$E$14*(1+Inputs!$E$15)^(21-Inputs!$E$13)*Inputs!$E$16))))*Inputs!$E$29))-((Inputs!$E$19+Inputs!$E$20+Inputs!$E$21+Inputs!$E$22+Inputs!$E$23))-(IF(AND(Inputs!$E$24&gt;0,21=Inputs!$E$24),Inputs!$E$25,0)))),0)*Inputs!$E$28))))+(IF(AND(Inputs!$E$17&gt;0,21=Inputs!$E$17),Inputs!$E$18,0))))</f>
        <v/>
      </c>
      <c r="AB5" s="8">
        <f>AA5+(((((((((Inputs!$E$3*(1+Inputs!$E$4)^(22-1))*(Inputs!$E$5*$C5))*Inputs!$E$6)+((Inputs!$E$7*(1+Inputs!$E$8)^(22-1))*Inputs!$E$9)+(Inputs!$E$11*(1+Inputs!$E$12)^(22-1))+(IF(22&lt;Inputs!$E$13,0,Inputs!$E$14*(1+Inputs!$E$15)^(22-Inputs!$E$13)*Inputs!$E$16))))-((((((((Inputs!$E$3*(1+Inputs!$E$4)^(22-1))*(Inputs!$E$5*$C5))*Inputs!$E$6)+((Inputs!$E$7*(1+Inputs!$E$8)^(22-1))*Inputs!$E$9)+(Inputs!$E$11*(1+Inputs!$E$12)^(22-1))+(IF(22&lt;Inputs!$E$13,0,Inputs!$E$14*(1+Inputs!$E$15)^(22-Inputs!$E$13)*Inputs!$E$16))))*Inputs!$E$26+((((Inputs!$E$3*(1+Inputs!$E$4)^(22-1))*(Inputs!$E$5*$C5))*Inputs!$E$6)+((Inputs!$E$7*(1+Inputs!$E$8)^(22-1))*Inputs!$E$9)+(IF(22&lt;Inputs!$E$13,0,Inputs!$E$14*(1+Inputs!$E$15)^(22-Inputs!$E$13)*Inputs!$E$16)))*Inputs!$E$27+(Inputs!$E$3*(1+Inputs!$E$4)^(22-1))*Inputs!$E$30))+(((Inputs!$E$7*(1+Inputs!$E$8)^(22-1))*Inputs!$E$10))+(((((((Inputs!$E$3*(1+Inputs!$E$4)^(22-1))*(Inputs!$E$5*$C5))*Inputs!$E$6)+((Inputs!$E$7*(1+Inputs!$E$8)^(22-1))*Inputs!$E$9)+(Inputs!$E$11*(1+Inputs!$E$12)^(22-1))+(IF(22&lt;Inputs!$E$13,0,Inputs!$E$14*(1+Inputs!$E$15)^(22-Inputs!$E$13)*Inputs!$E$16))))*Inputs!$E$29))+((Inputs!$E$19+Inputs!$E$20+Inputs!$E$21+Inputs!$E$22+Inputs!$E$23))+(IF(AND(Inputs!$E$24&gt;0,22=Inputs!$E$24),Inputs!$E$25,0))+(MAX((((((((Inputs!$E$3*(1+Inputs!$E$4)^(22-1))*(Inputs!$E$5*$C5))*Inputs!$E$6)+((Inputs!$E$7*(1+Inputs!$E$8)^(22-1))*Inputs!$E$9)+(Inputs!$E$11*(1+Inputs!$E$12)^(22-1))+(IF(22&lt;Inputs!$E$13,0,Inputs!$E$14*(1+Inputs!$E$15)^(22-Inputs!$E$13)*Inputs!$E$16))))-(((((((Inputs!$E$3*(1+Inputs!$E$4)^(22-1))*(Inputs!$E$5*$C5))*Inputs!$E$6)+((Inputs!$E$7*(1+Inputs!$E$8)^(22-1))*Inputs!$E$9)+(Inputs!$E$11*(1+Inputs!$E$12)^(22-1))+(IF(22&lt;Inputs!$E$13,0,Inputs!$E$14*(1+Inputs!$E$15)^(22-Inputs!$E$13)*Inputs!$E$16))))*Inputs!$E$26+((((Inputs!$E$3*(1+Inputs!$E$4)^(22-1))*(Inputs!$E$5*$C5))*Inputs!$E$6)+((Inputs!$E$7*(1+Inputs!$E$8)^(22-1))*Inputs!$E$9)+(IF(22&lt;Inputs!$E$13,0,Inputs!$E$14*(1+Inputs!$E$15)^(22-Inputs!$E$13)*Inputs!$E$16)))*Inputs!$E$27+(Inputs!$E$3*(1+Inputs!$E$4)^(22-1))*Inputs!$E$30))-(((Inputs!$E$7*(1+Inputs!$E$8)^(22-1))*Inputs!$E$10))-(((((((Inputs!$E$3*(1+Inputs!$E$4)^(22-1))*(Inputs!$E$5*$C5))*Inputs!$E$6)+((Inputs!$E$7*(1+Inputs!$E$8)^(22-1))*Inputs!$E$9)+(Inputs!$E$11*(1+Inputs!$E$12)^(22-1))+(IF(22&lt;Inputs!$E$13,0,Inputs!$E$14*(1+Inputs!$E$15)^(22-Inputs!$E$13)*Inputs!$E$16))))*Inputs!$E$29))-((Inputs!$E$19+Inputs!$E$20+Inputs!$E$21+Inputs!$E$22+Inputs!$E$23))-(IF(AND(Inputs!$E$24&gt;0,22=Inputs!$E$24),Inputs!$E$25,0)))),0)*Inputs!$E$28))))+(IF(AND(Inputs!$E$17&gt;0,22=Inputs!$E$17),Inputs!$E$18,0))))</f>
        <v/>
      </c>
      <c r="AC5" s="8">
        <f>AB5+(((((((((Inputs!$E$3*(1+Inputs!$E$4)^(23-1))*(Inputs!$E$5*$C5))*Inputs!$E$6)+((Inputs!$E$7*(1+Inputs!$E$8)^(23-1))*Inputs!$E$9)+(Inputs!$E$11*(1+Inputs!$E$12)^(23-1))+(IF(23&lt;Inputs!$E$13,0,Inputs!$E$14*(1+Inputs!$E$15)^(23-Inputs!$E$13)*Inputs!$E$16))))-((((((((Inputs!$E$3*(1+Inputs!$E$4)^(23-1))*(Inputs!$E$5*$C5))*Inputs!$E$6)+((Inputs!$E$7*(1+Inputs!$E$8)^(23-1))*Inputs!$E$9)+(Inputs!$E$11*(1+Inputs!$E$12)^(23-1))+(IF(23&lt;Inputs!$E$13,0,Inputs!$E$14*(1+Inputs!$E$15)^(23-Inputs!$E$13)*Inputs!$E$16))))*Inputs!$E$26+((((Inputs!$E$3*(1+Inputs!$E$4)^(23-1))*(Inputs!$E$5*$C5))*Inputs!$E$6)+((Inputs!$E$7*(1+Inputs!$E$8)^(23-1))*Inputs!$E$9)+(IF(23&lt;Inputs!$E$13,0,Inputs!$E$14*(1+Inputs!$E$15)^(23-Inputs!$E$13)*Inputs!$E$16)))*Inputs!$E$27+(Inputs!$E$3*(1+Inputs!$E$4)^(23-1))*Inputs!$E$30))+(((Inputs!$E$7*(1+Inputs!$E$8)^(23-1))*Inputs!$E$10))+(((((((Inputs!$E$3*(1+Inputs!$E$4)^(23-1))*(Inputs!$E$5*$C5))*Inputs!$E$6)+((Inputs!$E$7*(1+Inputs!$E$8)^(23-1))*Inputs!$E$9)+(Inputs!$E$11*(1+Inputs!$E$12)^(23-1))+(IF(23&lt;Inputs!$E$13,0,Inputs!$E$14*(1+Inputs!$E$15)^(23-Inputs!$E$13)*Inputs!$E$16))))*Inputs!$E$29))+((Inputs!$E$19+Inputs!$E$20+Inputs!$E$21+Inputs!$E$22+Inputs!$E$23))+(IF(AND(Inputs!$E$24&gt;0,23=Inputs!$E$24),Inputs!$E$25,0))+(MAX((((((((Inputs!$E$3*(1+Inputs!$E$4)^(23-1))*(Inputs!$E$5*$C5))*Inputs!$E$6)+((Inputs!$E$7*(1+Inputs!$E$8)^(23-1))*Inputs!$E$9)+(Inputs!$E$11*(1+Inputs!$E$12)^(23-1))+(IF(23&lt;Inputs!$E$13,0,Inputs!$E$14*(1+Inputs!$E$15)^(23-Inputs!$E$13)*Inputs!$E$16))))-(((((((Inputs!$E$3*(1+Inputs!$E$4)^(23-1))*(Inputs!$E$5*$C5))*Inputs!$E$6)+((Inputs!$E$7*(1+Inputs!$E$8)^(23-1))*Inputs!$E$9)+(Inputs!$E$11*(1+Inputs!$E$12)^(23-1))+(IF(23&lt;Inputs!$E$13,0,Inputs!$E$14*(1+Inputs!$E$15)^(23-Inputs!$E$13)*Inputs!$E$16))))*Inputs!$E$26+((((Inputs!$E$3*(1+Inputs!$E$4)^(23-1))*(Inputs!$E$5*$C5))*Inputs!$E$6)+((Inputs!$E$7*(1+Inputs!$E$8)^(23-1))*Inputs!$E$9)+(IF(23&lt;Inputs!$E$13,0,Inputs!$E$14*(1+Inputs!$E$15)^(23-Inputs!$E$13)*Inputs!$E$16)))*Inputs!$E$27+(Inputs!$E$3*(1+Inputs!$E$4)^(23-1))*Inputs!$E$30))-(((Inputs!$E$7*(1+Inputs!$E$8)^(23-1))*Inputs!$E$10))-(((((((Inputs!$E$3*(1+Inputs!$E$4)^(23-1))*(Inputs!$E$5*$C5))*Inputs!$E$6)+((Inputs!$E$7*(1+Inputs!$E$8)^(23-1))*Inputs!$E$9)+(Inputs!$E$11*(1+Inputs!$E$12)^(23-1))+(IF(23&lt;Inputs!$E$13,0,Inputs!$E$14*(1+Inputs!$E$15)^(23-Inputs!$E$13)*Inputs!$E$16))))*Inputs!$E$29))-((Inputs!$E$19+Inputs!$E$20+Inputs!$E$21+Inputs!$E$22+Inputs!$E$23))-(IF(AND(Inputs!$E$24&gt;0,23=Inputs!$E$24),Inputs!$E$25,0)))),0)*Inputs!$E$28))))+(IF(AND(Inputs!$E$17&gt;0,23=Inputs!$E$17),Inputs!$E$18,0))))</f>
        <v/>
      </c>
      <c r="AD5" s="8">
        <f>AC5+(((((((((Inputs!$E$3*(1+Inputs!$E$4)^(24-1))*(Inputs!$E$5*$C5))*Inputs!$E$6)+((Inputs!$E$7*(1+Inputs!$E$8)^(24-1))*Inputs!$E$9)+(Inputs!$E$11*(1+Inputs!$E$12)^(24-1))+(IF(24&lt;Inputs!$E$13,0,Inputs!$E$14*(1+Inputs!$E$15)^(24-Inputs!$E$13)*Inputs!$E$16))))-((((((((Inputs!$E$3*(1+Inputs!$E$4)^(24-1))*(Inputs!$E$5*$C5))*Inputs!$E$6)+((Inputs!$E$7*(1+Inputs!$E$8)^(24-1))*Inputs!$E$9)+(Inputs!$E$11*(1+Inputs!$E$12)^(24-1))+(IF(24&lt;Inputs!$E$13,0,Inputs!$E$14*(1+Inputs!$E$15)^(24-Inputs!$E$13)*Inputs!$E$16))))*Inputs!$E$26+((((Inputs!$E$3*(1+Inputs!$E$4)^(24-1))*(Inputs!$E$5*$C5))*Inputs!$E$6)+((Inputs!$E$7*(1+Inputs!$E$8)^(24-1))*Inputs!$E$9)+(IF(24&lt;Inputs!$E$13,0,Inputs!$E$14*(1+Inputs!$E$15)^(24-Inputs!$E$13)*Inputs!$E$16)))*Inputs!$E$27+(Inputs!$E$3*(1+Inputs!$E$4)^(24-1))*Inputs!$E$30))+(((Inputs!$E$7*(1+Inputs!$E$8)^(24-1))*Inputs!$E$10))+(((((((Inputs!$E$3*(1+Inputs!$E$4)^(24-1))*(Inputs!$E$5*$C5))*Inputs!$E$6)+((Inputs!$E$7*(1+Inputs!$E$8)^(24-1))*Inputs!$E$9)+(Inputs!$E$11*(1+Inputs!$E$12)^(24-1))+(IF(24&lt;Inputs!$E$13,0,Inputs!$E$14*(1+Inputs!$E$15)^(24-Inputs!$E$13)*Inputs!$E$16))))*Inputs!$E$29))+((Inputs!$E$19+Inputs!$E$20+Inputs!$E$21+Inputs!$E$22+Inputs!$E$23))+(IF(AND(Inputs!$E$24&gt;0,24=Inputs!$E$24),Inputs!$E$25,0))+(MAX((((((((Inputs!$E$3*(1+Inputs!$E$4)^(24-1))*(Inputs!$E$5*$C5))*Inputs!$E$6)+((Inputs!$E$7*(1+Inputs!$E$8)^(24-1))*Inputs!$E$9)+(Inputs!$E$11*(1+Inputs!$E$12)^(24-1))+(IF(24&lt;Inputs!$E$13,0,Inputs!$E$14*(1+Inputs!$E$15)^(24-Inputs!$E$13)*Inputs!$E$16))))-(((((((Inputs!$E$3*(1+Inputs!$E$4)^(24-1))*(Inputs!$E$5*$C5))*Inputs!$E$6)+((Inputs!$E$7*(1+Inputs!$E$8)^(24-1))*Inputs!$E$9)+(Inputs!$E$11*(1+Inputs!$E$12)^(24-1))+(IF(24&lt;Inputs!$E$13,0,Inputs!$E$14*(1+Inputs!$E$15)^(24-Inputs!$E$13)*Inputs!$E$16))))*Inputs!$E$26+((((Inputs!$E$3*(1+Inputs!$E$4)^(24-1))*(Inputs!$E$5*$C5))*Inputs!$E$6)+((Inputs!$E$7*(1+Inputs!$E$8)^(24-1))*Inputs!$E$9)+(IF(24&lt;Inputs!$E$13,0,Inputs!$E$14*(1+Inputs!$E$15)^(24-Inputs!$E$13)*Inputs!$E$16)))*Inputs!$E$27+(Inputs!$E$3*(1+Inputs!$E$4)^(24-1))*Inputs!$E$30))-(((Inputs!$E$7*(1+Inputs!$E$8)^(24-1))*Inputs!$E$10))-(((((((Inputs!$E$3*(1+Inputs!$E$4)^(24-1))*(Inputs!$E$5*$C5))*Inputs!$E$6)+((Inputs!$E$7*(1+Inputs!$E$8)^(24-1))*Inputs!$E$9)+(Inputs!$E$11*(1+Inputs!$E$12)^(24-1))+(IF(24&lt;Inputs!$E$13,0,Inputs!$E$14*(1+Inputs!$E$15)^(24-Inputs!$E$13)*Inputs!$E$16))))*Inputs!$E$29))-((Inputs!$E$19+Inputs!$E$20+Inputs!$E$21+Inputs!$E$22+Inputs!$E$23))-(IF(AND(Inputs!$E$24&gt;0,24=Inputs!$E$24),Inputs!$E$25,0)))),0)*Inputs!$E$28))))+(IF(AND(Inputs!$E$17&gt;0,24=Inputs!$E$17),Inputs!$E$18,0))))</f>
        <v/>
      </c>
      <c r="AE5" s="8">
        <f>AD5+(((((((((Inputs!$E$3*(1+Inputs!$E$4)^(25-1))*(Inputs!$E$5*$C5))*Inputs!$E$6)+((Inputs!$E$7*(1+Inputs!$E$8)^(25-1))*Inputs!$E$9)+(Inputs!$E$11*(1+Inputs!$E$12)^(25-1))+(IF(25&lt;Inputs!$E$13,0,Inputs!$E$14*(1+Inputs!$E$15)^(25-Inputs!$E$13)*Inputs!$E$16))))-((((((((Inputs!$E$3*(1+Inputs!$E$4)^(25-1))*(Inputs!$E$5*$C5))*Inputs!$E$6)+((Inputs!$E$7*(1+Inputs!$E$8)^(25-1))*Inputs!$E$9)+(Inputs!$E$11*(1+Inputs!$E$12)^(25-1))+(IF(25&lt;Inputs!$E$13,0,Inputs!$E$14*(1+Inputs!$E$15)^(25-Inputs!$E$13)*Inputs!$E$16))))*Inputs!$E$26+((((Inputs!$E$3*(1+Inputs!$E$4)^(25-1))*(Inputs!$E$5*$C5))*Inputs!$E$6)+((Inputs!$E$7*(1+Inputs!$E$8)^(25-1))*Inputs!$E$9)+(IF(25&lt;Inputs!$E$13,0,Inputs!$E$14*(1+Inputs!$E$15)^(25-Inputs!$E$13)*Inputs!$E$16)))*Inputs!$E$27+(Inputs!$E$3*(1+Inputs!$E$4)^(25-1))*Inputs!$E$30))+(((Inputs!$E$7*(1+Inputs!$E$8)^(25-1))*Inputs!$E$10))+(((((((Inputs!$E$3*(1+Inputs!$E$4)^(25-1))*(Inputs!$E$5*$C5))*Inputs!$E$6)+((Inputs!$E$7*(1+Inputs!$E$8)^(25-1))*Inputs!$E$9)+(Inputs!$E$11*(1+Inputs!$E$12)^(25-1))+(IF(25&lt;Inputs!$E$13,0,Inputs!$E$14*(1+Inputs!$E$15)^(25-Inputs!$E$13)*Inputs!$E$16))))*Inputs!$E$29))+((Inputs!$E$19+Inputs!$E$20+Inputs!$E$21+Inputs!$E$22+Inputs!$E$23))+(IF(AND(Inputs!$E$24&gt;0,25=Inputs!$E$24),Inputs!$E$25,0))+(MAX((((((((Inputs!$E$3*(1+Inputs!$E$4)^(25-1))*(Inputs!$E$5*$C5))*Inputs!$E$6)+((Inputs!$E$7*(1+Inputs!$E$8)^(25-1))*Inputs!$E$9)+(Inputs!$E$11*(1+Inputs!$E$12)^(25-1))+(IF(25&lt;Inputs!$E$13,0,Inputs!$E$14*(1+Inputs!$E$15)^(25-Inputs!$E$13)*Inputs!$E$16))))-(((((((Inputs!$E$3*(1+Inputs!$E$4)^(25-1))*(Inputs!$E$5*$C5))*Inputs!$E$6)+((Inputs!$E$7*(1+Inputs!$E$8)^(25-1))*Inputs!$E$9)+(Inputs!$E$11*(1+Inputs!$E$12)^(25-1))+(IF(25&lt;Inputs!$E$13,0,Inputs!$E$14*(1+Inputs!$E$15)^(25-Inputs!$E$13)*Inputs!$E$16))))*Inputs!$E$26+((((Inputs!$E$3*(1+Inputs!$E$4)^(25-1))*(Inputs!$E$5*$C5))*Inputs!$E$6)+((Inputs!$E$7*(1+Inputs!$E$8)^(25-1))*Inputs!$E$9)+(IF(25&lt;Inputs!$E$13,0,Inputs!$E$14*(1+Inputs!$E$15)^(25-Inputs!$E$13)*Inputs!$E$16)))*Inputs!$E$27+(Inputs!$E$3*(1+Inputs!$E$4)^(25-1))*Inputs!$E$30))-(((Inputs!$E$7*(1+Inputs!$E$8)^(25-1))*Inputs!$E$10))-(((((((Inputs!$E$3*(1+Inputs!$E$4)^(25-1))*(Inputs!$E$5*$C5))*Inputs!$E$6)+((Inputs!$E$7*(1+Inputs!$E$8)^(25-1))*Inputs!$E$9)+(Inputs!$E$11*(1+Inputs!$E$12)^(25-1))+(IF(25&lt;Inputs!$E$13,0,Inputs!$E$14*(1+Inputs!$E$15)^(25-Inputs!$E$13)*Inputs!$E$16))))*Inputs!$E$29))-((Inputs!$E$19+Inputs!$E$20+Inputs!$E$21+Inputs!$E$22+Inputs!$E$23))-(IF(AND(Inputs!$E$24&gt;0,25=Inputs!$E$24),Inputs!$E$25,0)))),0)*Inputs!$E$28))))+(IF(AND(Inputs!$E$17&gt;0,25=Inputs!$E$17),Inputs!$E$18,0))))</f>
        <v/>
      </c>
      <c r="AF5" s="8">
        <f>AE5+(((((((((Inputs!$E$3*(1+Inputs!$E$4)^(26-1))*(Inputs!$E$5*$C5))*Inputs!$E$6)+((Inputs!$E$7*(1+Inputs!$E$8)^(26-1))*Inputs!$E$9)+(Inputs!$E$11*(1+Inputs!$E$12)^(26-1))+(IF(26&lt;Inputs!$E$13,0,Inputs!$E$14*(1+Inputs!$E$15)^(26-Inputs!$E$13)*Inputs!$E$16))))-((((((((Inputs!$E$3*(1+Inputs!$E$4)^(26-1))*(Inputs!$E$5*$C5))*Inputs!$E$6)+((Inputs!$E$7*(1+Inputs!$E$8)^(26-1))*Inputs!$E$9)+(Inputs!$E$11*(1+Inputs!$E$12)^(26-1))+(IF(26&lt;Inputs!$E$13,0,Inputs!$E$14*(1+Inputs!$E$15)^(26-Inputs!$E$13)*Inputs!$E$16))))*Inputs!$E$26+((((Inputs!$E$3*(1+Inputs!$E$4)^(26-1))*(Inputs!$E$5*$C5))*Inputs!$E$6)+((Inputs!$E$7*(1+Inputs!$E$8)^(26-1))*Inputs!$E$9)+(IF(26&lt;Inputs!$E$13,0,Inputs!$E$14*(1+Inputs!$E$15)^(26-Inputs!$E$13)*Inputs!$E$16)))*Inputs!$E$27+(Inputs!$E$3*(1+Inputs!$E$4)^(26-1))*Inputs!$E$30))+(((Inputs!$E$7*(1+Inputs!$E$8)^(26-1))*Inputs!$E$10))+(((((((Inputs!$E$3*(1+Inputs!$E$4)^(26-1))*(Inputs!$E$5*$C5))*Inputs!$E$6)+((Inputs!$E$7*(1+Inputs!$E$8)^(26-1))*Inputs!$E$9)+(Inputs!$E$11*(1+Inputs!$E$12)^(26-1))+(IF(26&lt;Inputs!$E$13,0,Inputs!$E$14*(1+Inputs!$E$15)^(26-Inputs!$E$13)*Inputs!$E$16))))*Inputs!$E$29))+((Inputs!$E$19+Inputs!$E$20+Inputs!$E$21+Inputs!$E$22+Inputs!$E$23))+(IF(AND(Inputs!$E$24&gt;0,26=Inputs!$E$24),Inputs!$E$25,0))+(MAX((((((((Inputs!$E$3*(1+Inputs!$E$4)^(26-1))*(Inputs!$E$5*$C5))*Inputs!$E$6)+((Inputs!$E$7*(1+Inputs!$E$8)^(26-1))*Inputs!$E$9)+(Inputs!$E$11*(1+Inputs!$E$12)^(26-1))+(IF(26&lt;Inputs!$E$13,0,Inputs!$E$14*(1+Inputs!$E$15)^(26-Inputs!$E$13)*Inputs!$E$16))))-(((((((Inputs!$E$3*(1+Inputs!$E$4)^(26-1))*(Inputs!$E$5*$C5))*Inputs!$E$6)+((Inputs!$E$7*(1+Inputs!$E$8)^(26-1))*Inputs!$E$9)+(Inputs!$E$11*(1+Inputs!$E$12)^(26-1))+(IF(26&lt;Inputs!$E$13,0,Inputs!$E$14*(1+Inputs!$E$15)^(26-Inputs!$E$13)*Inputs!$E$16))))*Inputs!$E$26+((((Inputs!$E$3*(1+Inputs!$E$4)^(26-1))*(Inputs!$E$5*$C5))*Inputs!$E$6)+((Inputs!$E$7*(1+Inputs!$E$8)^(26-1))*Inputs!$E$9)+(IF(26&lt;Inputs!$E$13,0,Inputs!$E$14*(1+Inputs!$E$15)^(26-Inputs!$E$13)*Inputs!$E$16)))*Inputs!$E$27+(Inputs!$E$3*(1+Inputs!$E$4)^(26-1))*Inputs!$E$30))-(((Inputs!$E$7*(1+Inputs!$E$8)^(26-1))*Inputs!$E$10))-(((((((Inputs!$E$3*(1+Inputs!$E$4)^(26-1))*(Inputs!$E$5*$C5))*Inputs!$E$6)+((Inputs!$E$7*(1+Inputs!$E$8)^(26-1))*Inputs!$E$9)+(Inputs!$E$11*(1+Inputs!$E$12)^(26-1))+(IF(26&lt;Inputs!$E$13,0,Inputs!$E$14*(1+Inputs!$E$15)^(26-Inputs!$E$13)*Inputs!$E$16))))*Inputs!$E$29))-((Inputs!$E$19+Inputs!$E$20+Inputs!$E$21+Inputs!$E$22+Inputs!$E$23))-(IF(AND(Inputs!$E$24&gt;0,26=Inputs!$E$24),Inputs!$E$25,0)))),0)*Inputs!$E$28))))+(IF(AND(Inputs!$E$17&gt;0,26=Inputs!$E$17),Inputs!$E$18,0))))</f>
        <v/>
      </c>
      <c r="AG5" s="8">
        <f>AF5+(((((((((Inputs!$E$3*(1+Inputs!$E$4)^(27-1))*(Inputs!$E$5*$C5))*Inputs!$E$6)+((Inputs!$E$7*(1+Inputs!$E$8)^(27-1))*Inputs!$E$9)+(Inputs!$E$11*(1+Inputs!$E$12)^(27-1))+(IF(27&lt;Inputs!$E$13,0,Inputs!$E$14*(1+Inputs!$E$15)^(27-Inputs!$E$13)*Inputs!$E$16))))-((((((((Inputs!$E$3*(1+Inputs!$E$4)^(27-1))*(Inputs!$E$5*$C5))*Inputs!$E$6)+((Inputs!$E$7*(1+Inputs!$E$8)^(27-1))*Inputs!$E$9)+(Inputs!$E$11*(1+Inputs!$E$12)^(27-1))+(IF(27&lt;Inputs!$E$13,0,Inputs!$E$14*(1+Inputs!$E$15)^(27-Inputs!$E$13)*Inputs!$E$16))))*Inputs!$E$26+((((Inputs!$E$3*(1+Inputs!$E$4)^(27-1))*(Inputs!$E$5*$C5))*Inputs!$E$6)+((Inputs!$E$7*(1+Inputs!$E$8)^(27-1))*Inputs!$E$9)+(IF(27&lt;Inputs!$E$13,0,Inputs!$E$14*(1+Inputs!$E$15)^(27-Inputs!$E$13)*Inputs!$E$16)))*Inputs!$E$27+(Inputs!$E$3*(1+Inputs!$E$4)^(27-1))*Inputs!$E$30))+(((Inputs!$E$7*(1+Inputs!$E$8)^(27-1))*Inputs!$E$10))+(((((((Inputs!$E$3*(1+Inputs!$E$4)^(27-1))*(Inputs!$E$5*$C5))*Inputs!$E$6)+((Inputs!$E$7*(1+Inputs!$E$8)^(27-1))*Inputs!$E$9)+(Inputs!$E$11*(1+Inputs!$E$12)^(27-1))+(IF(27&lt;Inputs!$E$13,0,Inputs!$E$14*(1+Inputs!$E$15)^(27-Inputs!$E$13)*Inputs!$E$16))))*Inputs!$E$29))+((Inputs!$E$19+Inputs!$E$20+Inputs!$E$21+Inputs!$E$22+Inputs!$E$23))+(IF(AND(Inputs!$E$24&gt;0,27=Inputs!$E$24),Inputs!$E$25,0))+(MAX((((((((Inputs!$E$3*(1+Inputs!$E$4)^(27-1))*(Inputs!$E$5*$C5))*Inputs!$E$6)+((Inputs!$E$7*(1+Inputs!$E$8)^(27-1))*Inputs!$E$9)+(Inputs!$E$11*(1+Inputs!$E$12)^(27-1))+(IF(27&lt;Inputs!$E$13,0,Inputs!$E$14*(1+Inputs!$E$15)^(27-Inputs!$E$13)*Inputs!$E$16))))-(((((((Inputs!$E$3*(1+Inputs!$E$4)^(27-1))*(Inputs!$E$5*$C5))*Inputs!$E$6)+((Inputs!$E$7*(1+Inputs!$E$8)^(27-1))*Inputs!$E$9)+(Inputs!$E$11*(1+Inputs!$E$12)^(27-1))+(IF(27&lt;Inputs!$E$13,0,Inputs!$E$14*(1+Inputs!$E$15)^(27-Inputs!$E$13)*Inputs!$E$16))))*Inputs!$E$26+((((Inputs!$E$3*(1+Inputs!$E$4)^(27-1))*(Inputs!$E$5*$C5))*Inputs!$E$6)+((Inputs!$E$7*(1+Inputs!$E$8)^(27-1))*Inputs!$E$9)+(IF(27&lt;Inputs!$E$13,0,Inputs!$E$14*(1+Inputs!$E$15)^(27-Inputs!$E$13)*Inputs!$E$16)))*Inputs!$E$27+(Inputs!$E$3*(1+Inputs!$E$4)^(27-1))*Inputs!$E$30))-(((Inputs!$E$7*(1+Inputs!$E$8)^(27-1))*Inputs!$E$10))-(((((((Inputs!$E$3*(1+Inputs!$E$4)^(27-1))*(Inputs!$E$5*$C5))*Inputs!$E$6)+((Inputs!$E$7*(1+Inputs!$E$8)^(27-1))*Inputs!$E$9)+(Inputs!$E$11*(1+Inputs!$E$12)^(27-1))+(IF(27&lt;Inputs!$E$13,0,Inputs!$E$14*(1+Inputs!$E$15)^(27-Inputs!$E$13)*Inputs!$E$16))))*Inputs!$E$29))-((Inputs!$E$19+Inputs!$E$20+Inputs!$E$21+Inputs!$E$22+Inputs!$E$23))-(IF(AND(Inputs!$E$24&gt;0,27=Inputs!$E$24),Inputs!$E$25,0)))),0)*Inputs!$E$28))))+(IF(AND(Inputs!$E$17&gt;0,27=Inputs!$E$17),Inputs!$E$18,0))))</f>
        <v/>
      </c>
      <c r="AH5" s="8">
        <f>AG5+(((((((((Inputs!$E$3*(1+Inputs!$E$4)^(28-1))*(Inputs!$E$5*$C5))*Inputs!$E$6)+((Inputs!$E$7*(1+Inputs!$E$8)^(28-1))*Inputs!$E$9)+(Inputs!$E$11*(1+Inputs!$E$12)^(28-1))+(IF(28&lt;Inputs!$E$13,0,Inputs!$E$14*(1+Inputs!$E$15)^(28-Inputs!$E$13)*Inputs!$E$16))))-((((((((Inputs!$E$3*(1+Inputs!$E$4)^(28-1))*(Inputs!$E$5*$C5))*Inputs!$E$6)+((Inputs!$E$7*(1+Inputs!$E$8)^(28-1))*Inputs!$E$9)+(Inputs!$E$11*(1+Inputs!$E$12)^(28-1))+(IF(28&lt;Inputs!$E$13,0,Inputs!$E$14*(1+Inputs!$E$15)^(28-Inputs!$E$13)*Inputs!$E$16))))*Inputs!$E$26+((((Inputs!$E$3*(1+Inputs!$E$4)^(28-1))*(Inputs!$E$5*$C5))*Inputs!$E$6)+((Inputs!$E$7*(1+Inputs!$E$8)^(28-1))*Inputs!$E$9)+(IF(28&lt;Inputs!$E$13,0,Inputs!$E$14*(1+Inputs!$E$15)^(28-Inputs!$E$13)*Inputs!$E$16)))*Inputs!$E$27+(Inputs!$E$3*(1+Inputs!$E$4)^(28-1))*Inputs!$E$30))+(((Inputs!$E$7*(1+Inputs!$E$8)^(28-1))*Inputs!$E$10))+(((((((Inputs!$E$3*(1+Inputs!$E$4)^(28-1))*(Inputs!$E$5*$C5))*Inputs!$E$6)+((Inputs!$E$7*(1+Inputs!$E$8)^(28-1))*Inputs!$E$9)+(Inputs!$E$11*(1+Inputs!$E$12)^(28-1))+(IF(28&lt;Inputs!$E$13,0,Inputs!$E$14*(1+Inputs!$E$15)^(28-Inputs!$E$13)*Inputs!$E$16))))*Inputs!$E$29))+((Inputs!$E$19+Inputs!$E$20+Inputs!$E$21+Inputs!$E$22+Inputs!$E$23))+(IF(AND(Inputs!$E$24&gt;0,28=Inputs!$E$24),Inputs!$E$25,0))+(MAX((((((((Inputs!$E$3*(1+Inputs!$E$4)^(28-1))*(Inputs!$E$5*$C5))*Inputs!$E$6)+((Inputs!$E$7*(1+Inputs!$E$8)^(28-1))*Inputs!$E$9)+(Inputs!$E$11*(1+Inputs!$E$12)^(28-1))+(IF(28&lt;Inputs!$E$13,0,Inputs!$E$14*(1+Inputs!$E$15)^(28-Inputs!$E$13)*Inputs!$E$16))))-(((((((Inputs!$E$3*(1+Inputs!$E$4)^(28-1))*(Inputs!$E$5*$C5))*Inputs!$E$6)+((Inputs!$E$7*(1+Inputs!$E$8)^(28-1))*Inputs!$E$9)+(Inputs!$E$11*(1+Inputs!$E$12)^(28-1))+(IF(28&lt;Inputs!$E$13,0,Inputs!$E$14*(1+Inputs!$E$15)^(28-Inputs!$E$13)*Inputs!$E$16))))*Inputs!$E$26+((((Inputs!$E$3*(1+Inputs!$E$4)^(28-1))*(Inputs!$E$5*$C5))*Inputs!$E$6)+((Inputs!$E$7*(1+Inputs!$E$8)^(28-1))*Inputs!$E$9)+(IF(28&lt;Inputs!$E$13,0,Inputs!$E$14*(1+Inputs!$E$15)^(28-Inputs!$E$13)*Inputs!$E$16)))*Inputs!$E$27+(Inputs!$E$3*(1+Inputs!$E$4)^(28-1))*Inputs!$E$30))-(((Inputs!$E$7*(1+Inputs!$E$8)^(28-1))*Inputs!$E$10))-(((((((Inputs!$E$3*(1+Inputs!$E$4)^(28-1))*(Inputs!$E$5*$C5))*Inputs!$E$6)+((Inputs!$E$7*(1+Inputs!$E$8)^(28-1))*Inputs!$E$9)+(Inputs!$E$11*(1+Inputs!$E$12)^(28-1))+(IF(28&lt;Inputs!$E$13,0,Inputs!$E$14*(1+Inputs!$E$15)^(28-Inputs!$E$13)*Inputs!$E$16))))*Inputs!$E$29))-((Inputs!$E$19+Inputs!$E$20+Inputs!$E$21+Inputs!$E$22+Inputs!$E$23))-(IF(AND(Inputs!$E$24&gt;0,28=Inputs!$E$24),Inputs!$E$25,0)))),0)*Inputs!$E$28))))+(IF(AND(Inputs!$E$17&gt;0,28=Inputs!$E$17),Inputs!$E$18,0))))</f>
        <v/>
      </c>
      <c r="AI5" s="8">
        <f>AH5+(((((((((Inputs!$E$3*(1+Inputs!$E$4)^(29-1))*(Inputs!$E$5*$C5))*Inputs!$E$6)+((Inputs!$E$7*(1+Inputs!$E$8)^(29-1))*Inputs!$E$9)+(Inputs!$E$11*(1+Inputs!$E$12)^(29-1))+(IF(29&lt;Inputs!$E$13,0,Inputs!$E$14*(1+Inputs!$E$15)^(29-Inputs!$E$13)*Inputs!$E$16))))-((((((((Inputs!$E$3*(1+Inputs!$E$4)^(29-1))*(Inputs!$E$5*$C5))*Inputs!$E$6)+((Inputs!$E$7*(1+Inputs!$E$8)^(29-1))*Inputs!$E$9)+(Inputs!$E$11*(1+Inputs!$E$12)^(29-1))+(IF(29&lt;Inputs!$E$13,0,Inputs!$E$14*(1+Inputs!$E$15)^(29-Inputs!$E$13)*Inputs!$E$16))))*Inputs!$E$26+((((Inputs!$E$3*(1+Inputs!$E$4)^(29-1))*(Inputs!$E$5*$C5))*Inputs!$E$6)+((Inputs!$E$7*(1+Inputs!$E$8)^(29-1))*Inputs!$E$9)+(IF(29&lt;Inputs!$E$13,0,Inputs!$E$14*(1+Inputs!$E$15)^(29-Inputs!$E$13)*Inputs!$E$16)))*Inputs!$E$27+(Inputs!$E$3*(1+Inputs!$E$4)^(29-1))*Inputs!$E$30))+(((Inputs!$E$7*(1+Inputs!$E$8)^(29-1))*Inputs!$E$10))+(((((((Inputs!$E$3*(1+Inputs!$E$4)^(29-1))*(Inputs!$E$5*$C5))*Inputs!$E$6)+((Inputs!$E$7*(1+Inputs!$E$8)^(29-1))*Inputs!$E$9)+(Inputs!$E$11*(1+Inputs!$E$12)^(29-1))+(IF(29&lt;Inputs!$E$13,0,Inputs!$E$14*(1+Inputs!$E$15)^(29-Inputs!$E$13)*Inputs!$E$16))))*Inputs!$E$29))+((Inputs!$E$19+Inputs!$E$20+Inputs!$E$21+Inputs!$E$22+Inputs!$E$23))+(IF(AND(Inputs!$E$24&gt;0,29=Inputs!$E$24),Inputs!$E$25,0))+(MAX((((((((Inputs!$E$3*(1+Inputs!$E$4)^(29-1))*(Inputs!$E$5*$C5))*Inputs!$E$6)+((Inputs!$E$7*(1+Inputs!$E$8)^(29-1))*Inputs!$E$9)+(Inputs!$E$11*(1+Inputs!$E$12)^(29-1))+(IF(29&lt;Inputs!$E$13,0,Inputs!$E$14*(1+Inputs!$E$15)^(29-Inputs!$E$13)*Inputs!$E$16))))-(((((((Inputs!$E$3*(1+Inputs!$E$4)^(29-1))*(Inputs!$E$5*$C5))*Inputs!$E$6)+((Inputs!$E$7*(1+Inputs!$E$8)^(29-1))*Inputs!$E$9)+(Inputs!$E$11*(1+Inputs!$E$12)^(29-1))+(IF(29&lt;Inputs!$E$13,0,Inputs!$E$14*(1+Inputs!$E$15)^(29-Inputs!$E$13)*Inputs!$E$16))))*Inputs!$E$26+((((Inputs!$E$3*(1+Inputs!$E$4)^(29-1))*(Inputs!$E$5*$C5))*Inputs!$E$6)+((Inputs!$E$7*(1+Inputs!$E$8)^(29-1))*Inputs!$E$9)+(IF(29&lt;Inputs!$E$13,0,Inputs!$E$14*(1+Inputs!$E$15)^(29-Inputs!$E$13)*Inputs!$E$16)))*Inputs!$E$27+(Inputs!$E$3*(1+Inputs!$E$4)^(29-1))*Inputs!$E$30))-(((Inputs!$E$7*(1+Inputs!$E$8)^(29-1))*Inputs!$E$10))-(((((((Inputs!$E$3*(1+Inputs!$E$4)^(29-1))*(Inputs!$E$5*$C5))*Inputs!$E$6)+((Inputs!$E$7*(1+Inputs!$E$8)^(29-1))*Inputs!$E$9)+(Inputs!$E$11*(1+Inputs!$E$12)^(29-1))+(IF(29&lt;Inputs!$E$13,0,Inputs!$E$14*(1+Inputs!$E$15)^(29-Inputs!$E$13)*Inputs!$E$16))))*Inputs!$E$29))-((Inputs!$E$19+Inputs!$E$20+Inputs!$E$21+Inputs!$E$22+Inputs!$E$23))-(IF(AND(Inputs!$E$24&gt;0,29=Inputs!$E$24),Inputs!$E$25,0)))),0)*Inputs!$E$28))))+(IF(AND(Inputs!$E$17&gt;0,29=Inputs!$E$17),Inputs!$E$18,0))))</f>
        <v/>
      </c>
      <c r="AJ5" s="8">
        <f>AI5+(((((((((Inputs!$E$3*(1+Inputs!$E$4)^(30-1))*(Inputs!$E$5*$C5))*Inputs!$E$6)+((Inputs!$E$7*(1+Inputs!$E$8)^(30-1))*Inputs!$E$9)+(Inputs!$E$11*(1+Inputs!$E$12)^(30-1))+(IF(30&lt;Inputs!$E$13,0,Inputs!$E$14*(1+Inputs!$E$15)^(30-Inputs!$E$13)*Inputs!$E$16))))-((((((((Inputs!$E$3*(1+Inputs!$E$4)^(30-1))*(Inputs!$E$5*$C5))*Inputs!$E$6)+((Inputs!$E$7*(1+Inputs!$E$8)^(30-1))*Inputs!$E$9)+(Inputs!$E$11*(1+Inputs!$E$12)^(30-1))+(IF(30&lt;Inputs!$E$13,0,Inputs!$E$14*(1+Inputs!$E$15)^(30-Inputs!$E$13)*Inputs!$E$16))))*Inputs!$E$26+((((Inputs!$E$3*(1+Inputs!$E$4)^(30-1))*(Inputs!$E$5*$C5))*Inputs!$E$6)+((Inputs!$E$7*(1+Inputs!$E$8)^(30-1))*Inputs!$E$9)+(IF(30&lt;Inputs!$E$13,0,Inputs!$E$14*(1+Inputs!$E$15)^(30-Inputs!$E$13)*Inputs!$E$16)))*Inputs!$E$27+(Inputs!$E$3*(1+Inputs!$E$4)^(30-1))*Inputs!$E$30))+(((Inputs!$E$7*(1+Inputs!$E$8)^(30-1))*Inputs!$E$10))+(((((((Inputs!$E$3*(1+Inputs!$E$4)^(30-1))*(Inputs!$E$5*$C5))*Inputs!$E$6)+((Inputs!$E$7*(1+Inputs!$E$8)^(30-1))*Inputs!$E$9)+(Inputs!$E$11*(1+Inputs!$E$12)^(30-1))+(IF(30&lt;Inputs!$E$13,0,Inputs!$E$14*(1+Inputs!$E$15)^(30-Inputs!$E$13)*Inputs!$E$16))))*Inputs!$E$29))+((Inputs!$E$19+Inputs!$E$20+Inputs!$E$21+Inputs!$E$22+Inputs!$E$23))+(IF(AND(Inputs!$E$24&gt;0,30=Inputs!$E$24),Inputs!$E$25,0))+(MAX((((((((Inputs!$E$3*(1+Inputs!$E$4)^(30-1))*(Inputs!$E$5*$C5))*Inputs!$E$6)+((Inputs!$E$7*(1+Inputs!$E$8)^(30-1))*Inputs!$E$9)+(Inputs!$E$11*(1+Inputs!$E$12)^(30-1))+(IF(30&lt;Inputs!$E$13,0,Inputs!$E$14*(1+Inputs!$E$15)^(30-Inputs!$E$13)*Inputs!$E$16))))-(((((((Inputs!$E$3*(1+Inputs!$E$4)^(30-1))*(Inputs!$E$5*$C5))*Inputs!$E$6)+((Inputs!$E$7*(1+Inputs!$E$8)^(30-1))*Inputs!$E$9)+(Inputs!$E$11*(1+Inputs!$E$12)^(30-1))+(IF(30&lt;Inputs!$E$13,0,Inputs!$E$14*(1+Inputs!$E$15)^(30-Inputs!$E$13)*Inputs!$E$16))))*Inputs!$E$26+((((Inputs!$E$3*(1+Inputs!$E$4)^(30-1))*(Inputs!$E$5*$C5))*Inputs!$E$6)+((Inputs!$E$7*(1+Inputs!$E$8)^(30-1))*Inputs!$E$9)+(IF(30&lt;Inputs!$E$13,0,Inputs!$E$14*(1+Inputs!$E$15)^(30-Inputs!$E$13)*Inputs!$E$16)))*Inputs!$E$27+(Inputs!$E$3*(1+Inputs!$E$4)^(30-1))*Inputs!$E$30))-(((Inputs!$E$7*(1+Inputs!$E$8)^(30-1))*Inputs!$E$10))-(((((((Inputs!$E$3*(1+Inputs!$E$4)^(30-1))*(Inputs!$E$5*$C5))*Inputs!$E$6)+((Inputs!$E$7*(1+Inputs!$E$8)^(30-1))*Inputs!$E$9)+(Inputs!$E$11*(1+Inputs!$E$12)^(30-1))+(IF(30&lt;Inputs!$E$13,0,Inputs!$E$14*(1+Inputs!$E$15)^(30-Inputs!$E$13)*Inputs!$E$16))))*Inputs!$E$29))-((Inputs!$E$19+Inputs!$E$20+Inputs!$E$21+Inputs!$E$22+Inputs!$E$23))-(IF(AND(Inputs!$E$24&gt;0,30=Inputs!$E$24),Inputs!$E$25,0)))),0)*Inputs!$E$28))))+(IF(AND(Inputs!$E$17&gt;0,30=Inputs!$E$17),Inputs!$E$18,0))))</f>
        <v/>
      </c>
      <c r="AK5" s="8">
        <f>AJ5+(((((((((Inputs!$E$3*(1+Inputs!$E$4)^(31-1))*(Inputs!$E$5*$C5))*Inputs!$E$6)+((Inputs!$E$7*(1+Inputs!$E$8)^(31-1))*Inputs!$E$9)+(Inputs!$E$11*(1+Inputs!$E$12)^(31-1))+(IF(31&lt;Inputs!$E$13,0,Inputs!$E$14*(1+Inputs!$E$15)^(31-Inputs!$E$13)*Inputs!$E$16))))-((((((((Inputs!$E$3*(1+Inputs!$E$4)^(31-1))*(Inputs!$E$5*$C5))*Inputs!$E$6)+((Inputs!$E$7*(1+Inputs!$E$8)^(31-1))*Inputs!$E$9)+(Inputs!$E$11*(1+Inputs!$E$12)^(31-1))+(IF(31&lt;Inputs!$E$13,0,Inputs!$E$14*(1+Inputs!$E$15)^(31-Inputs!$E$13)*Inputs!$E$16))))*Inputs!$E$26+((((Inputs!$E$3*(1+Inputs!$E$4)^(31-1))*(Inputs!$E$5*$C5))*Inputs!$E$6)+((Inputs!$E$7*(1+Inputs!$E$8)^(31-1))*Inputs!$E$9)+(IF(31&lt;Inputs!$E$13,0,Inputs!$E$14*(1+Inputs!$E$15)^(31-Inputs!$E$13)*Inputs!$E$16)))*Inputs!$E$27+(Inputs!$E$3*(1+Inputs!$E$4)^(31-1))*Inputs!$E$30))+(((Inputs!$E$7*(1+Inputs!$E$8)^(31-1))*Inputs!$E$10))+(((((((Inputs!$E$3*(1+Inputs!$E$4)^(31-1))*(Inputs!$E$5*$C5))*Inputs!$E$6)+((Inputs!$E$7*(1+Inputs!$E$8)^(31-1))*Inputs!$E$9)+(Inputs!$E$11*(1+Inputs!$E$12)^(31-1))+(IF(31&lt;Inputs!$E$13,0,Inputs!$E$14*(1+Inputs!$E$15)^(31-Inputs!$E$13)*Inputs!$E$16))))*Inputs!$E$29))+((Inputs!$E$19+Inputs!$E$20+Inputs!$E$21+Inputs!$E$22+Inputs!$E$23))+(IF(AND(Inputs!$E$24&gt;0,31=Inputs!$E$24),Inputs!$E$25,0))+(MAX((((((((Inputs!$E$3*(1+Inputs!$E$4)^(31-1))*(Inputs!$E$5*$C5))*Inputs!$E$6)+((Inputs!$E$7*(1+Inputs!$E$8)^(31-1))*Inputs!$E$9)+(Inputs!$E$11*(1+Inputs!$E$12)^(31-1))+(IF(31&lt;Inputs!$E$13,0,Inputs!$E$14*(1+Inputs!$E$15)^(31-Inputs!$E$13)*Inputs!$E$16))))-(((((((Inputs!$E$3*(1+Inputs!$E$4)^(31-1))*(Inputs!$E$5*$C5))*Inputs!$E$6)+((Inputs!$E$7*(1+Inputs!$E$8)^(31-1))*Inputs!$E$9)+(Inputs!$E$11*(1+Inputs!$E$12)^(31-1))+(IF(31&lt;Inputs!$E$13,0,Inputs!$E$14*(1+Inputs!$E$15)^(31-Inputs!$E$13)*Inputs!$E$16))))*Inputs!$E$26+((((Inputs!$E$3*(1+Inputs!$E$4)^(31-1))*(Inputs!$E$5*$C5))*Inputs!$E$6)+((Inputs!$E$7*(1+Inputs!$E$8)^(31-1))*Inputs!$E$9)+(IF(31&lt;Inputs!$E$13,0,Inputs!$E$14*(1+Inputs!$E$15)^(31-Inputs!$E$13)*Inputs!$E$16)))*Inputs!$E$27+(Inputs!$E$3*(1+Inputs!$E$4)^(31-1))*Inputs!$E$30))-(((Inputs!$E$7*(1+Inputs!$E$8)^(31-1))*Inputs!$E$10))-(((((((Inputs!$E$3*(1+Inputs!$E$4)^(31-1))*(Inputs!$E$5*$C5))*Inputs!$E$6)+((Inputs!$E$7*(1+Inputs!$E$8)^(31-1))*Inputs!$E$9)+(Inputs!$E$11*(1+Inputs!$E$12)^(31-1))+(IF(31&lt;Inputs!$E$13,0,Inputs!$E$14*(1+Inputs!$E$15)^(31-Inputs!$E$13)*Inputs!$E$16))))*Inputs!$E$29))-((Inputs!$E$19+Inputs!$E$20+Inputs!$E$21+Inputs!$E$22+Inputs!$E$23))-(IF(AND(Inputs!$E$24&gt;0,31=Inputs!$E$24),Inputs!$E$25,0)))),0)*Inputs!$E$28))))+(IF(AND(Inputs!$E$17&gt;0,31=Inputs!$E$17),Inputs!$E$18,0))))</f>
        <v/>
      </c>
      <c r="AL5" s="8">
        <f>AK5+(((((((((Inputs!$E$3*(1+Inputs!$E$4)^(32-1))*(Inputs!$E$5*$C5))*Inputs!$E$6)+((Inputs!$E$7*(1+Inputs!$E$8)^(32-1))*Inputs!$E$9)+(Inputs!$E$11*(1+Inputs!$E$12)^(32-1))+(IF(32&lt;Inputs!$E$13,0,Inputs!$E$14*(1+Inputs!$E$15)^(32-Inputs!$E$13)*Inputs!$E$16))))-((((((((Inputs!$E$3*(1+Inputs!$E$4)^(32-1))*(Inputs!$E$5*$C5))*Inputs!$E$6)+((Inputs!$E$7*(1+Inputs!$E$8)^(32-1))*Inputs!$E$9)+(Inputs!$E$11*(1+Inputs!$E$12)^(32-1))+(IF(32&lt;Inputs!$E$13,0,Inputs!$E$14*(1+Inputs!$E$15)^(32-Inputs!$E$13)*Inputs!$E$16))))*Inputs!$E$26+((((Inputs!$E$3*(1+Inputs!$E$4)^(32-1))*(Inputs!$E$5*$C5))*Inputs!$E$6)+((Inputs!$E$7*(1+Inputs!$E$8)^(32-1))*Inputs!$E$9)+(IF(32&lt;Inputs!$E$13,0,Inputs!$E$14*(1+Inputs!$E$15)^(32-Inputs!$E$13)*Inputs!$E$16)))*Inputs!$E$27+(Inputs!$E$3*(1+Inputs!$E$4)^(32-1))*Inputs!$E$30))+(((Inputs!$E$7*(1+Inputs!$E$8)^(32-1))*Inputs!$E$10))+(((((((Inputs!$E$3*(1+Inputs!$E$4)^(32-1))*(Inputs!$E$5*$C5))*Inputs!$E$6)+((Inputs!$E$7*(1+Inputs!$E$8)^(32-1))*Inputs!$E$9)+(Inputs!$E$11*(1+Inputs!$E$12)^(32-1))+(IF(32&lt;Inputs!$E$13,0,Inputs!$E$14*(1+Inputs!$E$15)^(32-Inputs!$E$13)*Inputs!$E$16))))*Inputs!$E$29))+((Inputs!$E$19+Inputs!$E$20+Inputs!$E$21+Inputs!$E$22+Inputs!$E$23))+(IF(AND(Inputs!$E$24&gt;0,32=Inputs!$E$24),Inputs!$E$25,0))+(MAX((((((((Inputs!$E$3*(1+Inputs!$E$4)^(32-1))*(Inputs!$E$5*$C5))*Inputs!$E$6)+((Inputs!$E$7*(1+Inputs!$E$8)^(32-1))*Inputs!$E$9)+(Inputs!$E$11*(1+Inputs!$E$12)^(32-1))+(IF(32&lt;Inputs!$E$13,0,Inputs!$E$14*(1+Inputs!$E$15)^(32-Inputs!$E$13)*Inputs!$E$16))))-(((((((Inputs!$E$3*(1+Inputs!$E$4)^(32-1))*(Inputs!$E$5*$C5))*Inputs!$E$6)+((Inputs!$E$7*(1+Inputs!$E$8)^(32-1))*Inputs!$E$9)+(Inputs!$E$11*(1+Inputs!$E$12)^(32-1))+(IF(32&lt;Inputs!$E$13,0,Inputs!$E$14*(1+Inputs!$E$15)^(32-Inputs!$E$13)*Inputs!$E$16))))*Inputs!$E$26+((((Inputs!$E$3*(1+Inputs!$E$4)^(32-1))*(Inputs!$E$5*$C5))*Inputs!$E$6)+((Inputs!$E$7*(1+Inputs!$E$8)^(32-1))*Inputs!$E$9)+(IF(32&lt;Inputs!$E$13,0,Inputs!$E$14*(1+Inputs!$E$15)^(32-Inputs!$E$13)*Inputs!$E$16)))*Inputs!$E$27+(Inputs!$E$3*(1+Inputs!$E$4)^(32-1))*Inputs!$E$30))-(((Inputs!$E$7*(1+Inputs!$E$8)^(32-1))*Inputs!$E$10))-(((((((Inputs!$E$3*(1+Inputs!$E$4)^(32-1))*(Inputs!$E$5*$C5))*Inputs!$E$6)+((Inputs!$E$7*(1+Inputs!$E$8)^(32-1))*Inputs!$E$9)+(Inputs!$E$11*(1+Inputs!$E$12)^(32-1))+(IF(32&lt;Inputs!$E$13,0,Inputs!$E$14*(1+Inputs!$E$15)^(32-Inputs!$E$13)*Inputs!$E$16))))*Inputs!$E$29))-((Inputs!$E$19+Inputs!$E$20+Inputs!$E$21+Inputs!$E$22+Inputs!$E$23))-(IF(AND(Inputs!$E$24&gt;0,32=Inputs!$E$24),Inputs!$E$25,0)))),0)*Inputs!$E$28))))+(IF(AND(Inputs!$E$17&gt;0,32=Inputs!$E$17),Inputs!$E$18,0))))</f>
        <v/>
      </c>
      <c r="AM5" s="8">
        <f>AL5+(((((((((Inputs!$E$3*(1+Inputs!$E$4)^(33-1))*(Inputs!$E$5*$C5))*Inputs!$E$6)+((Inputs!$E$7*(1+Inputs!$E$8)^(33-1))*Inputs!$E$9)+(Inputs!$E$11*(1+Inputs!$E$12)^(33-1))+(IF(33&lt;Inputs!$E$13,0,Inputs!$E$14*(1+Inputs!$E$15)^(33-Inputs!$E$13)*Inputs!$E$16))))-((((((((Inputs!$E$3*(1+Inputs!$E$4)^(33-1))*(Inputs!$E$5*$C5))*Inputs!$E$6)+((Inputs!$E$7*(1+Inputs!$E$8)^(33-1))*Inputs!$E$9)+(Inputs!$E$11*(1+Inputs!$E$12)^(33-1))+(IF(33&lt;Inputs!$E$13,0,Inputs!$E$14*(1+Inputs!$E$15)^(33-Inputs!$E$13)*Inputs!$E$16))))*Inputs!$E$26+((((Inputs!$E$3*(1+Inputs!$E$4)^(33-1))*(Inputs!$E$5*$C5))*Inputs!$E$6)+((Inputs!$E$7*(1+Inputs!$E$8)^(33-1))*Inputs!$E$9)+(IF(33&lt;Inputs!$E$13,0,Inputs!$E$14*(1+Inputs!$E$15)^(33-Inputs!$E$13)*Inputs!$E$16)))*Inputs!$E$27+(Inputs!$E$3*(1+Inputs!$E$4)^(33-1))*Inputs!$E$30))+(((Inputs!$E$7*(1+Inputs!$E$8)^(33-1))*Inputs!$E$10))+(((((((Inputs!$E$3*(1+Inputs!$E$4)^(33-1))*(Inputs!$E$5*$C5))*Inputs!$E$6)+((Inputs!$E$7*(1+Inputs!$E$8)^(33-1))*Inputs!$E$9)+(Inputs!$E$11*(1+Inputs!$E$12)^(33-1))+(IF(33&lt;Inputs!$E$13,0,Inputs!$E$14*(1+Inputs!$E$15)^(33-Inputs!$E$13)*Inputs!$E$16))))*Inputs!$E$29))+((Inputs!$E$19+Inputs!$E$20+Inputs!$E$21+Inputs!$E$22+Inputs!$E$23))+(IF(AND(Inputs!$E$24&gt;0,33=Inputs!$E$24),Inputs!$E$25,0))+(MAX((((((((Inputs!$E$3*(1+Inputs!$E$4)^(33-1))*(Inputs!$E$5*$C5))*Inputs!$E$6)+((Inputs!$E$7*(1+Inputs!$E$8)^(33-1))*Inputs!$E$9)+(Inputs!$E$11*(1+Inputs!$E$12)^(33-1))+(IF(33&lt;Inputs!$E$13,0,Inputs!$E$14*(1+Inputs!$E$15)^(33-Inputs!$E$13)*Inputs!$E$16))))-(((((((Inputs!$E$3*(1+Inputs!$E$4)^(33-1))*(Inputs!$E$5*$C5))*Inputs!$E$6)+((Inputs!$E$7*(1+Inputs!$E$8)^(33-1))*Inputs!$E$9)+(Inputs!$E$11*(1+Inputs!$E$12)^(33-1))+(IF(33&lt;Inputs!$E$13,0,Inputs!$E$14*(1+Inputs!$E$15)^(33-Inputs!$E$13)*Inputs!$E$16))))*Inputs!$E$26+((((Inputs!$E$3*(1+Inputs!$E$4)^(33-1))*(Inputs!$E$5*$C5))*Inputs!$E$6)+((Inputs!$E$7*(1+Inputs!$E$8)^(33-1))*Inputs!$E$9)+(IF(33&lt;Inputs!$E$13,0,Inputs!$E$14*(1+Inputs!$E$15)^(33-Inputs!$E$13)*Inputs!$E$16)))*Inputs!$E$27+(Inputs!$E$3*(1+Inputs!$E$4)^(33-1))*Inputs!$E$30))-(((Inputs!$E$7*(1+Inputs!$E$8)^(33-1))*Inputs!$E$10))-(((((((Inputs!$E$3*(1+Inputs!$E$4)^(33-1))*(Inputs!$E$5*$C5))*Inputs!$E$6)+((Inputs!$E$7*(1+Inputs!$E$8)^(33-1))*Inputs!$E$9)+(Inputs!$E$11*(1+Inputs!$E$12)^(33-1))+(IF(33&lt;Inputs!$E$13,0,Inputs!$E$14*(1+Inputs!$E$15)^(33-Inputs!$E$13)*Inputs!$E$16))))*Inputs!$E$29))-((Inputs!$E$19+Inputs!$E$20+Inputs!$E$21+Inputs!$E$22+Inputs!$E$23))-(IF(AND(Inputs!$E$24&gt;0,33=Inputs!$E$24),Inputs!$E$25,0)))),0)*Inputs!$E$28))))+(IF(AND(Inputs!$E$17&gt;0,33=Inputs!$E$17),Inputs!$E$18,0))))</f>
        <v/>
      </c>
      <c r="AN5" s="8">
        <f>AM5+(((((((((Inputs!$E$3*(1+Inputs!$E$4)^(34-1))*(Inputs!$E$5*$C5))*Inputs!$E$6)+((Inputs!$E$7*(1+Inputs!$E$8)^(34-1))*Inputs!$E$9)+(Inputs!$E$11*(1+Inputs!$E$12)^(34-1))+(IF(34&lt;Inputs!$E$13,0,Inputs!$E$14*(1+Inputs!$E$15)^(34-Inputs!$E$13)*Inputs!$E$16))))-((((((((Inputs!$E$3*(1+Inputs!$E$4)^(34-1))*(Inputs!$E$5*$C5))*Inputs!$E$6)+((Inputs!$E$7*(1+Inputs!$E$8)^(34-1))*Inputs!$E$9)+(Inputs!$E$11*(1+Inputs!$E$12)^(34-1))+(IF(34&lt;Inputs!$E$13,0,Inputs!$E$14*(1+Inputs!$E$15)^(34-Inputs!$E$13)*Inputs!$E$16))))*Inputs!$E$26+((((Inputs!$E$3*(1+Inputs!$E$4)^(34-1))*(Inputs!$E$5*$C5))*Inputs!$E$6)+((Inputs!$E$7*(1+Inputs!$E$8)^(34-1))*Inputs!$E$9)+(IF(34&lt;Inputs!$E$13,0,Inputs!$E$14*(1+Inputs!$E$15)^(34-Inputs!$E$13)*Inputs!$E$16)))*Inputs!$E$27+(Inputs!$E$3*(1+Inputs!$E$4)^(34-1))*Inputs!$E$30))+(((Inputs!$E$7*(1+Inputs!$E$8)^(34-1))*Inputs!$E$10))+(((((((Inputs!$E$3*(1+Inputs!$E$4)^(34-1))*(Inputs!$E$5*$C5))*Inputs!$E$6)+((Inputs!$E$7*(1+Inputs!$E$8)^(34-1))*Inputs!$E$9)+(Inputs!$E$11*(1+Inputs!$E$12)^(34-1))+(IF(34&lt;Inputs!$E$13,0,Inputs!$E$14*(1+Inputs!$E$15)^(34-Inputs!$E$13)*Inputs!$E$16))))*Inputs!$E$29))+((Inputs!$E$19+Inputs!$E$20+Inputs!$E$21+Inputs!$E$22+Inputs!$E$23))+(IF(AND(Inputs!$E$24&gt;0,34=Inputs!$E$24),Inputs!$E$25,0))+(MAX((((((((Inputs!$E$3*(1+Inputs!$E$4)^(34-1))*(Inputs!$E$5*$C5))*Inputs!$E$6)+((Inputs!$E$7*(1+Inputs!$E$8)^(34-1))*Inputs!$E$9)+(Inputs!$E$11*(1+Inputs!$E$12)^(34-1))+(IF(34&lt;Inputs!$E$13,0,Inputs!$E$14*(1+Inputs!$E$15)^(34-Inputs!$E$13)*Inputs!$E$16))))-(((((((Inputs!$E$3*(1+Inputs!$E$4)^(34-1))*(Inputs!$E$5*$C5))*Inputs!$E$6)+((Inputs!$E$7*(1+Inputs!$E$8)^(34-1))*Inputs!$E$9)+(Inputs!$E$11*(1+Inputs!$E$12)^(34-1))+(IF(34&lt;Inputs!$E$13,0,Inputs!$E$14*(1+Inputs!$E$15)^(34-Inputs!$E$13)*Inputs!$E$16))))*Inputs!$E$26+((((Inputs!$E$3*(1+Inputs!$E$4)^(34-1))*(Inputs!$E$5*$C5))*Inputs!$E$6)+((Inputs!$E$7*(1+Inputs!$E$8)^(34-1))*Inputs!$E$9)+(IF(34&lt;Inputs!$E$13,0,Inputs!$E$14*(1+Inputs!$E$15)^(34-Inputs!$E$13)*Inputs!$E$16)))*Inputs!$E$27+(Inputs!$E$3*(1+Inputs!$E$4)^(34-1))*Inputs!$E$30))-(((Inputs!$E$7*(1+Inputs!$E$8)^(34-1))*Inputs!$E$10))-(((((((Inputs!$E$3*(1+Inputs!$E$4)^(34-1))*(Inputs!$E$5*$C5))*Inputs!$E$6)+((Inputs!$E$7*(1+Inputs!$E$8)^(34-1))*Inputs!$E$9)+(Inputs!$E$11*(1+Inputs!$E$12)^(34-1))+(IF(34&lt;Inputs!$E$13,0,Inputs!$E$14*(1+Inputs!$E$15)^(34-Inputs!$E$13)*Inputs!$E$16))))*Inputs!$E$29))-((Inputs!$E$19+Inputs!$E$20+Inputs!$E$21+Inputs!$E$22+Inputs!$E$23))-(IF(AND(Inputs!$E$24&gt;0,34=Inputs!$E$24),Inputs!$E$25,0)))),0)*Inputs!$E$28))))+(IF(AND(Inputs!$E$17&gt;0,34=Inputs!$E$17),Inputs!$E$18,0))))</f>
        <v/>
      </c>
      <c r="AO5" s="8">
        <f>AN5+(((((((((Inputs!$E$3*(1+Inputs!$E$4)^(35-1))*(Inputs!$E$5*$C5))*Inputs!$E$6)+((Inputs!$E$7*(1+Inputs!$E$8)^(35-1))*Inputs!$E$9)+(Inputs!$E$11*(1+Inputs!$E$12)^(35-1))+(IF(35&lt;Inputs!$E$13,0,Inputs!$E$14*(1+Inputs!$E$15)^(35-Inputs!$E$13)*Inputs!$E$16))))-((((((((Inputs!$E$3*(1+Inputs!$E$4)^(35-1))*(Inputs!$E$5*$C5))*Inputs!$E$6)+((Inputs!$E$7*(1+Inputs!$E$8)^(35-1))*Inputs!$E$9)+(Inputs!$E$11*(1+Inputs!$E$12)^(35-1))+(IF(35&lt;Inputs!$E$13,0,Inputs!$E$14*(1+Inputs!$E$15)^(35-Inputs!$E$13)*Inputs!$E$16))))*Inputs!$E$26+((((Inputs!$E$3*(1+Inputs!$E$4)^(35-1))*(Inputs!$E$5*$C5))*Inputs!$E$6)+((Inputs!$E$7*(1+Inputs!$E$8)^(35-1))*Inputs!$E$9)+(IF(35&lt;Inputs!$E$13,0,Inputs!$E$14*(1+Inputs!$E$15)^(35-Inputs!$E$13)*Inputs!$E$16)))*Inputs!$E$27+(Inputs!$E$3*(1+Inputs!$E$4)^(35-1))*Inputs!$E$30))+(((Inputs!$E$7*(1+Inputs!$E$8)^(35-1))*Inputs!$E$10))+(((((((Inputs!$E$3*(1+Inputs!$E$4)^(35-1))*(Inputs!$E$5*$C5))*Inputs!$E$6)+((Inputs!$E$7*(1+Inputs!$E$8)^(35-1))*Inputs!$E$9)+(Inputs!$E$11*(1+Inputs!$E$12)^(35-1))+(IF(35&lt;Inputs!$E$13,0,Inputs!$E$14*(1+Inputs!$E$15)^(35-Inputs!$E$13)*Inputs!$E$16))))*Inputs!$E$29))+((Inputs!$E$19+Inputs!$E$20+Inputs!$E$21+Inputs!$E$22+Inputs!$E$23))+(IF(AND(Inputs!$E$24&gt;0,35=Inputs!$E$24),Inputs!$E$25,0))+(MAX((((((((Inputs!$E$3*(1+Inputs!$E$4)^(35-1))*(Inputs!$E$5*$C5))*Inputs!$E$6)+((Inputs!$E$7*(1+Inputs!$E$8)^(35-1))*Inputs!$E$9)+(Inputs!$E$11*(1+Inputs!$E$12)^(35-1))+(IF(35&lt;Inputs!$E$13,0,Inputs!$E$14*(1+Inputs!$E$15)^(35-Inputs!$E$13)*Inputs!$E$16))))-(((((((Inputs!$E$3*(1+Inputs!$E$4)^(35-1))*(Inputs!$E$5*$C5))*Inputs!$E$6)+((Inputs!$E$7*(1+Inputs!$E$8)^(35-1))*Inputs!$E$9)+(Inputs!$E$11*(1+Inputs!$E$12)^(35-1))+(IF(35&lt;Inputs!$E$13,0,Inputs!$E$14*(1+Inputs!$E$15)^(35-Inputs!$E$13)*Inputs!$E$16))))*Inputs!$E$26+((((Inputs!$E$3*(1+Inputs!$E$4)^(35-1))*(Inputs!$E$5*$C5))*Inputs!$E$6)+((Inputs!$E$7*(1+Inputs!$E$8)^(35-1))*Inputs!$E$9)+(IF(35&lt;Inputs!$E$13,0,Inputs!$E$14*(1+Inputs!$E$15)^(35-Inputs!$E$13)*Inputs!$E$16)))*Inputs!$E$27+(Inputs!$E$3*(1+Inputs!$E$4)^(35-1))*Inputs!$E$30))-(((Inputs!$E$7*(1+Inputs!$E$8)^(35-1))*Inputs!$E$10))-(((((((Inputs!$E$3*(1+Inputs!$E$4)^(35-1))*(Inputs!$E$5*$C5))*Inputs!$E$6)+((Inputs!$E$7*(1+Inputs!$E$8)^(35-1))*Inputs!$E$9)+(Inputs!$E$11*(1+Inputs!$E$12)^(35-1))+(IF(35&lt;Inputs!$E$13,0,Inputs!$E$14*(1+Inputs!$E$15)^(35-Inputs!$E$13)*Inputs!$E$16))))*Inputs!$E$29))-((Inputs!$E$19+Inputs!$E$20+Inputs!$E$21+Inputs!$E$22+Inputs!$E$23))-(IF(AND(Inputs!$E$24&gt;0,35=Inputs!$E$24),Inputs!$E$25,0)))),0)*Inputs!$E$28))))+(IF(AND(Inputs!$E$17&gt;0,35=Inputs!$E$17),Inputs!$E$18,0))))</f>
        <v/>
      </c>
      <c r="AP5" s="8">
        <f>AO5+(((((((((Inputs!$E$3*(1+Inputs!$E$4)^(36-1))*(Inputs!$E$5*$C5))*Inputs!$E$6)+((Inputs!$E$7*(1+Inputs!$E$8)^(36-1))*Inputs!$E$9)+(Inputs!$E$11*(1+Inputs!$E$12)^(36-1))+(IF(36&lt;Inputs!$E$13,0,Inputs!$E$14*(1+Inputs!$E$15)^(36-Inputs!$E$13)*Inputs!$E$16))))-((((((((Inputs!$E$3*(1+Inputs!$E$4)^(36-1))*(Inputs!$E$5*$C5))*Inputs!$E$6)+((Inputs!$E$7*(1+Inputs!$E$8)^(36-1))*Inputs!$E$9)+(Inputs!$E$11*(1+Inputs!$E$12)^(36-1))+(IF(36&lt;Inputs!$E$13,0,Inputs!$E$14*(1+Inputs!$E$15)^(36-Inputs!$E$13)*Inputs!$E$16))))*Inputs!$E$26+((((Inputs!$E$3*(1+Inputs!$E$4)^(36-1))*(Inputs!$E$5*$C5))*Inputs!$E$6)+((Inputs!$E$7*(1+Inputs!$E$8)^(36-1))*Inputs!$E$9)+(IF(36&lt;Inputs!$E$13,0,Inputs!$E$14*(1+Inputs!$E$15)^(36-Inputs!$E$13)*Inputs!$E$16)))*Inputs!$E$27+(Inputs!$E$3*(1+Inputs!$E$4)^(36-1))*Inputs!$E$30))+(((Inputs!$E$7*(1+Inputs!$E$8)^(36-1))*Inputs!$E$10))+(((((((Inputs!$E$3*(1+Inputs!$E$4)^(36-1))*(Inputs!$E$5*$C5))*Inputs!$E$6)+((Inputs!$E$7*(1+Inputs!$E$8)^(36-1))*Inputs!$E$9)+(Inputs!$E$11*(1+Inputs!$E$12)^(36-1))+(IF(36&lt;Inputs!$E$13,0,Inputs!$E$14*(1+Inputs!$E$15)^(36-Inputs!$E$13)*Inputs!$E$16))))*Inputs!$E$29))+((Inputs!$E$19+Inputs!$E$20+Inputs!$E$21+Inputs!$E$22+Inputs!$E$23))+(IF(AND(Inputs!$E$24&gt;0,36=Inputs!$E$24),Inputs!$E$25,0))+(MAX((((((((Inputs!$E$3*(1+Inputs!$E$4)^(36-1))*(Inputs!$E$5*$C5))*Inputs!$E$6)+((Inputs!$E$7*(1+Inputs!$E$8)^(36-1))*Inputs!$E$9)+(Inputs!$E$11*(1+Inputs!$E$12)^(36-1))+(IF(36&lt;Inputs!$E$13,0,Inputs!$E$14*(1+Inputs!$E$15)^(36-Inputs!$E$13)*Inputs!$E$16))))-(((((((Inputs!$E$3*(1+Inputs!$E$4)^(36-1))*(Inputs!$E$5*$C5))*Inputs!$E$6)+((Inputs!$E$7*(1+Inputs!$E$8)^(36-1))*Inputs!$E$9)+(Inputs!$E$11*(1+Inputs!$E$12)^(36-1))+(IF(36&lt;Inputs!$E$13,0,Inputs!$E$14*(1+Inputs!$E$15)^(36-Inputs!$E$13)*Inputs!$E$16))))*Inputs!$E$26+((((Inputs!$E$3*(1+Inputs!$E$4)^(36-1))*(Inputs!$E$5*$C5))*Inputs!$E$6)+((Inputs!$E$7*(1+Inputs!$E$8)^(36-1))*Inputs!$E$9)+(IF(36&lt;Inputs!$E$13,0,Inputs!$E$14*(1+Inputs!$E$15)^(36-Inputs!$E$13)*Inputs!$E$16)))*Inputs!$E$27+(Inputs!$E$3*(1+Inputs!$E$4)^(36-1))*Inputs!$E$30))-(((Inputs!$E$7*(1+Inputs!$E$8)^(36-1))*Inputs!$E$10))-(((((((Inputs!$E$3*(1+Inputs!$E$4)^(36-1))*(Inputs!$E$5*$C5))*Inputs!$E$6)+((Inputs!$E$7*(1+Inputs!$E$8)^(36-1))*Inputs!$E$9)+(Inputs!$E$11*(1+Inputs!$E$12)^(36-1))+(IF(36&lt;Inputs!$E$13,0,Inputs!$E$14*(1+Inputs!$E$15)^(36-Inputs!$E$13)*Inputs!$E$16))))*Inputs!$E$29))-((Inputs!$E$19+Inputs!$E$20+Inputs!$E$21+Inputs!$E$22+Inputs!$E$23))-(IF(AND(Inputs!$E$24&gt;0,36=Inputs!$E$24),Inputs!$E$25,0)))),0)*Inputs!$E$28))))+(IF(AND(Inputs!$E$17&gt;0,36=Inputs!$E$17),Inputs!$E$18,0))))</f>
        <v/>
      </c>
    </row>
    <row r="6">
      <c r="A6" s="2" t="inlineStr">
        <is>
          <t>marketing_spend</t>
        </is>
      </c>
      <c r="B6" s="2" t="inlineStr">
        <is>
          <t>Marketing spend +25%</t>
        </is>
      </c>
      <c r="C6" s="2" t="n">
        <v>1.25</v>
      </c>
      <c r="D6" s="8">
        <f>AP6</f>
        <v/>
      </c>
      <c r="E6" s="8">
        <f>IFERROR(INDEX($G$1:$AP$1,MATCH(TRUE,$G6:$AP6&lt;0,0)),"No cash-out")</f>
        <v/>
      </c>
      <c r="F6" s="2" t="inlineStr">
        <is>
          <t>See ending cash / cash-out; monthly op net in Monthly Model</t>
        </is>
      </c>
      <c r="G6" s="8">
        <f>Inputs!$E$2+(((((((((Inputs!$E$3*(1+Inputs!$E$4)^(1-1))*Inputs!$E$5)*Inputs!$E$6)+((Inputs!$E$7*(1+Inputs!$E$8)^(1-1))*Inputs!$E$9)+(Inputs!$E$11*(1+Inputs!$E$12)^(1-1))+(IF(1&lt;Inputs!$E$13,0,Inputs!$E$14*(1+Inputs!$E$15)^(1-Inputs!$E$13)*Inputs!$E$16))))-(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+(((Inputs!$E$7*(1+Inputs!$E$8)^(1-1))*Inputs!$E$10))+(((((((Inputs!$E$3*(1+Inputs!$E$4)^(1-1))*Inputs!$E$5)*Inputs!$E$6)+((Inputs!$E$7*(1+Inputs!$E$8)^(1-1))*Inputs!$E$9)+(Inputs!$E$11*(1+Inputs!$E$12)^(1-1))+(IF(1&lt;Inputs!$E$13,0,Inputs!$E$14*(1+Inputs!$E$15)^(1-Inputs!$E$13)*Inputs!$E$16))))*Inputs!$E$29))+((Inputs!$E$19+Inputs!$E$20+(Inputs!$E$21*$C6)+Inputs!$E$22+Inputs!$E$23))+(IF(AND(Inputs!$E$24&gt;0,1=Inputs!$E$24),Inputs!$E$25,0))+(MAX((((((((Inputs!$E$3*(1+Inputs!$E$4)^(1-1))*Inputs!$E$5)*Inputs!$E$6)+((Inputs!$E$7*(1+Inputs!$E$8)^(1-1))*Inputs!$E$9)+(Inputs!$E$11*(1+Inputs!$E$12)^(1-1))+(IF(1&lt;Inputs!$E$13,0,Inputs!$E$14*(1+Inputs!$E$15)^(1-Inputs!$E$13)*Inputs!$E$16))))-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-(((Inputs!$E$7*(1+Inputs!$E$8)^(1-1))*Inputs!$E$10))-(((((((Inputs!$E$3*(1+Inputs!$E$4)^(1-1))*Inputs!$E$5)*Inputs!$E$6)+((Inputs!$E$7*(1+Inputs!$E$8)^(1-1))*Inputs!$E$9)+(Inputs!$E$11*(1+Inputs!$E$12)^(1-1))+(IF(1&lt;Inputs!$E$13,0,Inputs!$E$14*(1+Inputs!$E$15)^(1-Inputs!$E$13)*Inputs!$E$16))))*Inputs!$E$29))-((Inputs!$E$19+Inputs!$E$20+(Inputs!$E$21*$C6)+Inputs!$E$22+Inputs!$E$23))-(IF(AND(Inputs!$E$24&gt;0,1=Inputs!$E$24),Inputs!$E$25,0)))),0)*Inputs!$E$28))))+(IF(AND(Inputs!$E$17&gt;0,1=Inputs!$E$17),Inputs!$E$18,0))))</f>
        <v/>
      </c>
      <c r="H6" s="8">
        <f>G6+(((((((((Inputs!$E$3*(1+Inputs!$E$4)^(2-1))*Inputs!$E$5)*Inputs!$E$6)+((Inputs!$E$7*(1+Inputs!$E$8)^(2-1))*Inputs!$E$9)+(Inputs!$E$11*(1+Inputs!$E$12)^(2-1))+(IF(2&lt;Inputs!$E$13,0,Inputs!$E$14*(1+Inputs!$E$15)^(2-Inputs!$E$13)*Inputs!$E$16))))-(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+(((Inputs!$E$7*(1+Inputs!$E$8)^(2-1))*Inputs!$E$10))+(((((((Inputs!$E$3*(1+Inputs!$E$4)^(2-1))*Inputs!$E$5)*Inputs!$E$6)+((Inputs!$E$7*(1+Inputs!$E$8)^(2-1))*Inputs!$E$9)+(Inputs!$E$11*(1+Inputs!$E$12)^(2-1))+(IF(2&lt;Inputs!$E$13,0,Inputs!$E$14*(1+Inputs!$E$15)^(2-Inputs!$E$13)*Inputs!$E$16))))*Inputs!$E$29))+((Inputs!$E$19+Inputs!$E$20+(Inputs!$E$21*$C6)+Inputs!$E$22+Inputs!$E$23))+(IF(AND(Inputs!$E$24&gt;0,2=Inputs!$E$24),Inputs!$E$25,0))+(MAX((((((((Inputs!$E$3*(1+Inputs!$E$4)^(2-1))*Inputs!$E$5)*Inputs!$E$6)+((Inputs!$E$7*(1+Inputs!$E$8)^(2-1))*Inputs!$E$9)+(Inputs!$E$11*(1+Inputs!$E$12)^(2-1))+(IF(2&lt;Inputs!$E$13,0,Inputs!$E$14*(1+Inputs!$E$15)^(2-Inputs!$E$13)*Inputs!$E$16))))-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-(((Inputs!$E$7*(1+Inputs!$E$8)^(2-1))*Inputs!$E$10))-(((((((Inputs!$E$3*(1+Inputs!$E$4)^(2-1))*Inputs!$E$5)*Inputs!$E$6)+((Inputs!$E$7*(1+Inputs!$E$8)^(2-1))*Inputs!$E$9)+(Inputs!$E$11*(1+Inputs!$E$12)^(2-1))+(IF(2&lt;Inputs!$E$13,0,Inputs!$E$14*(1+Inputs!$E$15)^(2-Inputs!$E$13)*Inputs!$E$16))))*Inputs!$E$29))-((Inputs!$E$19+Inputs!$E$20+(Inputs!$E$21*$C6)+Inputs!$E$22+Inputs!$E$23))-(IF(AND(Inputs!$E$24&gt;0,2=Inputs!$E$24),Inputs!$E$25,0)))),0)*Inputs!$E$28))))+(IF(AND(Inputs!$E$17&gt;0,2=Inputs!$E$17),Inputs!$E$18,0))))</f>
        <v/>
      </c>
      <c r="I6" s="8">
        <f>H6+(((((((((Inputs!$E$3*(1+Inputs!$E$4)^(3-1))*Inputs!$E$5)*Inputs!$E$6)+((Inputs!$E$7*(1+Inputs!$E$8)^(3-1))*Inputs!$E$9)+(Inputs!$E$11*(1+Inputs!$E$12)^(3-1))+(IF(3&lt;Inputs!$E$13,0,Inputs!$E$14*(1+Inputs!$E$15)^(3-Inputs!$E$13)*Inputs!$E$16))))-(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+(((Inputs!$E$7*(1+Inputs!$E$8)^(3-1))*Inputs!$E$10))+(((((((Inputs!$E$3*(1+Inputs!$E$4)^(3-1))*Inputs!$E$5)*Inputs!$E$6)+((Inputs!$E$7*(1+Inputs!$E$8)^(3-1))*Inputs!$E$9)+(Inputs!$E$11*(1+Inputs!$E$12)^(3-1))+(IF(3&lt;Inputs!$E$13,0,Inputs!$E$14*(1+Inputs!$E$15)^(3-Inputs!$E$13)*Inputs!$E$16))))*Inputs!$E$29))+((Inputs!$E$19+Inputs!$E$20+(Inputs!$E$21*$C6)+Inputs!$E$22+Inputs!$E$23))+(IF(AND(Inputs!$E$24&gt;0,3=Inputs!$E$24),Inputs!$E$25,0))+(MAX((((((((Inputs!$E$3*(1+Inputs!$E$4)^(3-1))*Inputs!$E$5)*Inputs!$E$6)+((Inputs!$E$7*(1+Inputs!$E$8)^(3-1))*Inputs!$E$9)+(Inputs!$E$11*(1+Inputs!$E$12)^(3-1))+(IF(3&lt;Inputs!$E$13,0,Inputs!$E$14*(1+Inputs!$E$15)^(3-Inputs!$E$13)*Inputs!$E$16))))-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-(((Inputs!$E$7*(1+Inputs!$E$8)^(3-1))*Inputs!$E$10))-(((((((Inputs!$E$3*(1+Inputs!$E$4)^(3-1))*Inputs!$E$5)*Inputs!$E$6)+((Inputs!$E$7*(1+Inputs!$E$8)^(3-1))*Inputs!$E$9)+(Inputs!$E$11*(1+Inputs!$E$12)^(3-1))+(IF(3&lt;Inputs!$E$13,0,Inputs!$E$14*(1+Inputs!$E$15)^(3-Inputs!$E$13)*Inputs!$E$16))))*Inputs!$E$29))-((Inputs!$E$19+Inputs!$E$20+(Inputs!$E$21*$C6)+Inputs!$E$22+Inputs!$E$23))-(IF(AND(Inputs!$E$24&gt;0,3=Inputs!$E$24),Inputs!$E$25,0)))),0)*Inputs!$E$28))))+(IF(AND(Inputs!$E$17&gt;0,3=Inputs!$E$17),Inputs!$E$18,0))))</f>
        <v/>
      </c>
      <c r="J6" s="8">
        <f>I6+(((((((((Inputs!$E$3*(1+Inputs!$E$4)^(4-1))*Inputs!$E$5)*Inputs!$E$6)+((Inputs!$E$7*(1+Inputs!$E$8)^(4-1))*Inputs!$E$9)+(Inputs!$E$11*(1+Inputs!$E$12)^(4-1))+(IF(4&lt;Inputs!$E$13,0,Inputs!$E$14*(1+Inputs!$E$15)^(4-Inputs!$E$13)*Inputs!$E$16))))-(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+(((Inputs!$E$7*(1+Inputs!$E$8)^(4-1))*Inputs!$E$10))+(((((((Inputs!$E$3*(1+Inputs!$E$4)^(4-1))*Inputs!$E$5)*Inputs!$E$6)+((Inputs!$E$7*(1+Inputs!$E$8)^(4-1))*Inputs!$E$9)+(Inputs!$E$11*(1+Inputs!$E$12)^(4-1))+(IF(4&lt;Inputs!$E$13,0,Inputs!$E$14*(1+Inputs!$E$15)^(4-Inputs!$E$13)*Inputs!$E$16))))*Inputs!$E$29))+((Inputs!$E$19+Inputs!$E$20+(Inputs!$E$21*$C6)+Inputs!$E$22+Inputs!$E$23))+(IF(AND(Inputs!$E$24&gt;0,4=Inputs!$E$24),Inputs!$E$25,0))+(MAX((((((((Inputs!$E$3*(1+Inputs!$E$4)^(4-1))*Inputs!$E$5)*Inputs!$E$6)+((Inputs!$E$7*(1+Inputs!$E$8)^(4-1))*Inputs!$E$9)+(Inputs!$E$11*(1+Inputs!$E$12)^(4-1))+(IF(4&lt;Inputs!$E$13,0,Inputs!$E$14*(1+Inputs!$E$15)^(4-Inputs!$E$13)*Inputs!$E$16))))-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-(((Inputs!$E$7*(1+Inputs!$E$8)^(4-1))*Inputs!$E$10))-(((((((Inputs!$E$3*(1+Inputs!$E$4)^(4-1))*Inputs!$E$5)*Inputs!$E$6)+((Inputs!$E$7*(1+Inputs!$E$8)^(4-1))*Inputs!$E$9)+(Inputs!$E$11*(1+Inputs!$E$12)^(4-1))+(IF(4&lt;Inputs!$E$13,0,Inputs!$E$14*(1+Inputs!$E$15)^(4-Inputs!$E$13)*Inputs!$E$16))))*Inputs!$E$29))-((Inputs!$E$19+Inputs!$E$20+(Inputs!$E$21*$C6)+Inputs!$E$22+Inputs!$E$23))-(IF(AND(Inputs!$E$24&gt;0,4=Inputs!$E$24),Inputs!$E$25,0)))),0)*Inputs!$E$28))))+(IF(AND(Inputs!$E$17&gt;0,4=Inputs!$E$17),Inputs!$E$18,0))))</f>
        <v/>
      </c>
      <c r="K6" s="8">
        <f>J6+(((((((((Inputs!$E$3*(1+Inputs!$E$4)^(5-1))*Inputs!$E$5)*Inputs!$E$6)+((Inputs!$E$7*(1+Inputs!$E$8)^(5-1))*Inputs!$E$9)+(Inputs!$E$11*(1+Inputs!$E$12)^(5-1))+(IF(5&lt;Inputs!$E$13,0,Inputs!$E$14*(1+Inputs!$E$15)^(5-Inputs!$E$13)*Inputs!$E$16))))-(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+(((Inputs!$E$7*(1+Inputs!$E$8)^(5-1))*Inputs!$E$10))+(((((((Inputs!$E$3*(1+Inputs!$E$4)^(5-1))*Inputs!$E$5)*Inputs!$E$6)+((Inputs!$E$7*(1+Inputs!$E$8)^(5-1))*Inputs!$E$9)+(Inputs!$E$11*(1+Inputs!$E$12)^(5-1))+(IF(5&lt;Inputs!$E$13,0,Inputs!$E$14*(1+Inputs!$E$15)^(5-Inputs!$E$13)*Inputs!$E$16))))*Inputs!$E$29))+((Inputs!$E$19+Inputs!$E$20+(Inputs!$E$21*$C6)+Inputs!$E$22+Inputs!$E$23))+(IF(AND(Inputs!$E$24&gt;0,5=Inputs!$E$24),Inputs!$E$25,0))+(MAX((((((((Inputs!$E$3*(1+Inputs!$E$4)^(5-1))*Inputs!$E$5)*Inputs!$E$6)+((Inputs!$E$7*(1+Inputs!$E$8)^(5-1))*Inputs!$E$9)+(Inputs!$E$11*(1+Inputs!$E$12)^(5-1))+(IF(5&lt;Inputs!$E$13,0,Inputs!$E$14*(1+Inputs!$E$15)^(5-Inputs!$E$13)*Inputs!$E$16))))-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-(((Inputs!$E$7*(1+Inputs!$E$8)^(5-1))*Inputs!$E$10))-(((((((Inputs!$E$3*(1+Inputs!$E$4)^(5-1))*Inputs!$E$5)*Inputs!$E$6)+((Inputs!$E$7*(1+Inputs!$E$8)^(5-1))*Inputs!$E$9)+(Inputs!$E$11*(1+Inputs!$E$12)^(5-1))+(IF(5&lt;Inputs!$E$13,0,Inputs!$E$14*(1+Inputs!$E$15)^(5-Inputs!$E$13)*Inputs!$E$16))))*Inputs!$E$29))-((Inputs!$E$19+Inputs!$E$20+(Inputs!$E$21*$C6)+Inputs!$E$22+Inputs!$E$23))-(IF(AND(Inputs!$E$24&gt;0,5=Inputs!$E$24),Inputs!$E$25,0)))),0)*Inputs!$E$28))))+(IF(AND(Inputs!$E$17&gt;0,5=Inputs!$E$17),Inputs!$E$18,0))))</f>
        <v/>
      </c>
      <c r="L6" s="8">
        <f>K6+(((((((((Inputs!$E$3*(1+Inputs!$E$4)^(6-1))*Inputs!$E$5)*Inputs!$E$6)+((Inputs!$E$7*(1+Inputs!$E$8)^(6-1))*Inputs!$E$9)+(Inputs!$E$11*(1+Inputs!$E$12)^(6-1))+(IF(6&lt;Inputs!$E$13,0,Inputs!$E$14*(1+Inputs!$E$15)^(6-Inputs!$E$13)*Inputs!$E$16))))-(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+(((Inputs!$E$7*(1+Inputs!$E$8)^(6-1))*Inputs!$E$10))+(((((((Inputs!$E$3*(1+Inputs!$E$4)^(6-1))*Inputs!$E$5)*Inputs!$E$6)+((Inputs!$E$7*(1+Inputs!$E$8)^(6-1))*Inputs!$E$9)+(Inputs!$E$11*(1+Inputs!$E$12)^(6-1))+(IF(6&lt;Inputs!$E$13,0,Inputs!$E$14*(1+Inputs!$E$15)^(6-Inputs!$E$13)*Inputs!$E$16))))*Inputs!$E$29))+((Inputs!$E$19+Inputs!$E$20+(Inputs!$E$21*$C6)+Inputs!$E$22+Inputs!$E$23))+(IF(AND(Inputs!$E$24&gt;0,6=Inputs!$E$24),Inputs!$E$25,0))+(MAX((((((((Inputs!$E$3*(1+Inputs!$E$4)^(6-1))*Inputs!$E$5)*Inputs!$E$6)+((Inputs!$E$7*(1+Inputs!$E$8)^(6-1))*Inputs!$E$9)+(Inputs!$E$11*(1+Inputs!$E$12)^(6-1))+(IF(6&lt;Inputs!$E$13,0,Inputs!$E$14*(1+Inputs!$E$15)^(6-Inputs!$E$13)*Inputs!$E$16))))-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-(((Inputs!$E$7*(1+Inputs!$E$8)^(6-1))*Inputs!$E$10))-(((((((Inputs!$E$3*(1+Inputs!$E$4)^(6-1))*Inputs!$E$5)*Inputs!$E$6)+((Inputs!$E$7*(1+Inputs!$E$8)^(6-1))*Inputs!$E$9)+(Inputs!$E$11*(1+Inputs!$E$12)^(6-1))+(IF(6&lt;Inputs!$E$13,0,Inputs!$E$14*(1+Inputs!$E$15)^(6-Inputs!$E$13)*Inputs!$E$16))))*Inputs!$E$29))-((Inputs!$E$19+Inputs!$E$20+(Inputs!$E$21*$C6)+Inputs!$E$22+Inputs!$E$23))-(IF(AND(Inputs!$E$24&gt;0,6=Inputs!$E$24),Inputs!$E$25,0)))),0)*Inputs!$E$28))))+(IF(AND(Inputs!$E$17&gt;0,6=Inputs!$E$17),Inputs!$E$18,0))))</f>
        <v/>
      </c>
      <c r="M6" s="8">
        <f>L6+(((((((((Inputs!$E$3*(1+Inputs!$E$4)^(7-1))*Inputs!$E$5)*Inputs!$E$6)+((Inputs!$E$7*(1+Inputs!$E$8)^(7-1))*Inputs!$E$9)+(Inputs!$E$11*(1+Inputs!$E$12)^(7-1))+(IF(7&lt;Inputs!$E$13,0,Inputs!$E$14*(1+Inputs!$E$15)^(7-Inputs!$E$13)*Inputs!$E$16))))-(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+(((Inputs!$E$7*(1+Inputs!$E$8)^(7-1))*Inputs!$E$10))+(((((((Inputs!$E$3*(1+Inputs!$E$4)^(7-1))*Inputs!$E$5)*Inputs!$E$6)+((Inputs!$E$7*(1+Inputs!$E$8)^(7-1))*Inputs!$E$9)+(Inputs!$E$11*(1+Inputs!$E$12)^(7-1))+(IF(7&lt;Inputs!$E$13,0,Inputs!$E$14*(1+Inputs!$E$15)^(7-Inputs!$E$13)*Inputs!$E$16))))*Inputs!$E$29))+((Inputs!$E$19+Inputs!$E$20+(Inputs!$E$21*$C6)+Inputs!$E$22+Inputs!$E$23))+(IF(AND(Inputs!$E$24&gt;0,7=Inputs!$E$24),Inputs!$E$25,0))+(MAX((((((((Inputs!$E$3*(1+Inputs!$E$4)^(7-1))*Inputs!$E$5)*Inputs!$E$6)+((Inputs!$E$7*(1+Inputs!$E$8)^(7-1))*Inputs!$E$9)+(Inputs!$E$11*(1+Inputs!$E$12)^(7-1))+(IF(7&lt;Inputs!$E$13,0,Inputs!$E$14*(1+Inputs!$E$15)^(7-Inputs!$E$13)*Inputs!$E$16))))-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-(((Inputs!$E$7*(1+Inputs!$E$8)^(7-1))*Inputs!$E$10))-(((((((Inputs!$E$3*(1+Inputs!$E$4)^(7-1))*Inputs!$E$5)*Inputs!$E$6)+((Inputs!$E$7*(1+Inputs!$E$8)^(7-1))*Inputs!$E$9)+(Inputs!$E$11*(1+Inputs!$E$12)^(7-1))+(IF(7&lt;Inputs!$E$13,0,Inputs!$E$14*(1+Inputs!$E$15)^(7-Inputs!$E$13)*Inputs!$E$16))))*Inputs!$E$29))-((Inputs!$E$19+Inputs!$E$20+(Inputs!$E$21*$C6)+Inputs!$E$22+Inputs!$E$23))-(IF(AND(Inputs!$E$24&gt;0,7=Inputs!$E$24),Inputs!$E$25,0)))),0)*Inputs!$E$28))))+(IF(AND(Inputs!$E$17&gt;0,7=Inputs!$E$17),Inputs!$E$18,0))))</f>
        <v/>
      </c>
      <c r="N6" s="8">
        <f>M6+(((((((((Inputs!$E$3*(1+Inputs!$E$4)^(8-1))*Inputs!$E$5)*Inputs!$E$6)+((Inputs!$E$7*(1+Inputs!$E$8)^(8-1))*Inputs!$E$9)+(Inputs!$E$11*(1+Inputs!$E$12)^(8-1))+(IF(8&lt;Inputs!$E$13,0,Inputs!$E$14*(1+Inputs!$E$15)^(8-Inputs!$E$13)*Inputs!$E$16))))-(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+(((Inputs!$E$7*(1+Inputs!$E$8)^(8-1))*Inputs!$E$10))+(((((((Inputs!$E$3*(1+Inputs!$E$4)^(8-1))*Inputs!$E$5)*Inputs!$E$6)+((Inputs!$E$7*(1+Inputs!$E$8)^(8-1))*Inputs!$E$9)+(Inputs!$E$11*(1+Inputs!$E$12)^(8-1))+(IF(8&lt;Inputs!$E$13,0,Inputs!$E$14*(1+Inputs!$E$15)^(8-Inputs!$E$13)*Inputs!$E$16))))*Inputs!$E$29))+((Inputs!$E$19+Inputs!$E$20+(Inputs!$E$21*$C6)+Inputs!$E$22+Inputs!$E$23))+(IF(AND(Inputs!$E$24&gt;0,8=Inputs!$E$24),Inputs!$E$25,0))+(MAX((((((((Inputs!$E$3*(1+Inputs!$E$4)^(8-1))*Inputs!$E$5)*Inputs!$E$6)+((Inputs!$E$7*(1+Inputs!$E$8)^(8-1))*Inputs!$E$9)+(Inputs!$E$11*(1+Inputs!$E$12)^(8-1))+(IF(8&lt;Inputs!$E$13,0,Inputs!$E$14*(1+Inputs!$E$15)^(8-Inputs!$E$13)*Inputs!$E$16))))-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-(((Inputs!$E$7*(1+Inputs!$E$8)^(8-1))*Inputs!$E$10))-(((((((Inputs!$E$3*(1+Inputs!$E$4)^(8-1))*Inputs!$E$5)*Inputs!$E$6)+((Inputs!$E$7*(1+Inputs!$E$8)^(8-1))*Inputs!$E$9)+(Inputs!$E$11*(1+Inputs!$E$12)^(8-1))+(IF(8&lt;Inputs!$E$13,0,Inputs!$E$14*(1+Inputs!$E$15)^(8-Inputs!$E$13)*Inputs!$E$16))))*Inputs!$E$29))-((Inputs!$E$19+Inputs!$E$20+(Inputs!$E$21*$C6)+Inputs!$E$22+Inputs!$E$23))-(IF(AND(Inputs!$E$24&gt;0,8=Inputs!$E$24),Inputs!$E$25,0)))),0)*Inputs!$E$28))))+(IF(AND(Inputs!$E$17&gt;0,8=Inputs!$E$17),Inputs!$E$18,0))))</f>
        <v/>
      </c>
      <c r="O6" s="8">
        <f>N6+(((((((((Inputs!$E$3*(1+Inputs!$E$4)^(9-1))*Inputs!$E$5)*Inputs!$E$6)+((Inputs!$E$7*(1+Inputs!$E$8)^(9-1))*Inputs!$E$9)+(Inputs!$E$11*(1+Inputs!$E$12)^(9-1))+(IF(9&lt;Inputs!$E$13,0,Inputs!$E$14*(1+Inputs!$E$15)^(9-Inputs!$E$13)*Inputs!$E$16))))-(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+(((Inputs!$E$7*(1+Inputs!$E$8)^(9-1))*Inputs!$E$10))+(((((((Inputs!$E$3*(1+Inputs!$E$4)^(9-1))*Inputs!$E$5)*Inputs!$E$6)+((Inputs!$E$7*(1+Inputs!$E$8)^(9-1))*Inputs!$E$9)+(Inputs!$E$11*(1+Inputs!$E$12)^(9-1))+(IF(9&lt;Inputs!$E$13,0,Inputs!$E$14*(1+Inputs!$E$15)^(9-Inputs!$E$13)*Inputs!$E$16))))*Inputs!$E$29))+((Inputs!$E$19+Inputs!$E$20+(Inputs!$E$21*$C6)+Inputs!$E$22+Inputs!$E$23))+(IF(AND(Inputs!$E$24&gt;0,9=Inputs!$E$24),Inputs!$E$25,0))+(MAX((((((((Inputs!$E$3*(1+Inputs!$E$4)^(9-1))*Inputs!$E$5)*Inputs!$E$6)+((Inputs!$E$7*(1+Inputs!$E$8)^(9-1))*Inputs!$E$9)+(Inputs!$E$11*(1+Inputs!$E$12)^(9-1))+(IF(9&lt;Inputs!$E$13,0,Inputs!$E$14*(1+Inputs!$E$15)^(9-Inputs!$E$13)*Inputs!$E$16))))-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-(((Inputs!$E$7*(1+Inputs!$E$8)^(9-1))*Inputs!$E$10))-(((((((Inputs!$E$3*(1+Inputs!$E$4)^(9-1))*Inputs!$E$5)*Inputs!$E$6)+((Inputs!$E$7*(1+Inputs!$E$8)^(9-1))*Inputs!$E$9)+(Inputs!$E$11*(1+Inputs!$E$12)^(9-1))+(IF(9&lt;Inputs!$E$13,0,Inputs!$E$14*(1+Inputs!$E$15)^(9-Inputs!$E$13)*Inputs!$E$16))))*Inputs!$E$29))-((Inputs!$E$19+Inputs!$E$20+(Inputs!$E$21*$C6)+Inputs!$E$22+Inputs!$E$23))-(IF(AND(Inputs!$E$24&gt;0,9=Inputs!$E$24),Inputs!$E$25,0)))),0)*Inputs!$E$28))))+(IF(AND(Inputs!$E$17&gt;0,9=Inputs!$E$17),Inputs!$E$18,0))))</f>
        <v/>
      </c>
      <c r="P6" s="8">
        <f>O6+(((((((((Inputs!$E$3*(1+Inputs!$E$4)^(10-1))*Inputs!$E$5)*Inputs!$E$6)+((Inputs!$E$7*(1+Inputs!$E$8)^(10-1))*Inputs!$E$9)+(Inputs!$E$11*(1+Inputs!$E$12)^(10-1))+(IF(10&lt;Inputs!$E$13,0,Inputs!$E$14*(1+Inputs!$E$15)^(10-Inputs!$E$13)*Inputs!$E$16))))-(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+(((Inputs!$E$7*(1+Inputs!$E$8)^(10-1))*Inputs!$E$10))+(((((((Inputs!$E$3*(1+Inputs!$E$4)^(10-1))*Inputs!$E$5)*Inputs!$E$6)+((Inputs!$E$7*(1+Inputs!$E$8)^(10-1))*Inputs!$E$9)+(Inputs!$E$11*(1+Inputs!$E$12)^(10-1))+(IF(10&lt;Inputs!$E$13,0,Inputs!$E$14*(1+Inputs!$E$15)^(10-Inputs!$E$13)*Inputs!$E$16))))*Inputs!$E$29))+((Inputs!$E$19+Inputs!$E$20+(Inputs!$E$21*$C6)+Inputs!$E$22+Inputs!$E$23))+(IF(AND(Inputs!$E$24&gt;0,10=Inputs!$E$24),Inputs!$E$25,0))+(MAX((((((((Inputs!$E$3*(1+Inputs!$E$4)^(10-1))*Inputs!$E$5)*Inputs!$E$6)+((Inputs!$E$7*(1+Inputs!$E$8)^(10-1))*Inputs!$E$9)+(Inputs!$E$11*(1+Inputs!$E$12)^(10-1))+(IF(10&lt;Inputs!$E$13,0,Inputs!$E$14*(1+Inputs!$E$15)^(10-Inputs!$E$13)*Inputs!$E$16))))-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-(((Inputs!$E$7*(1+Inputs!$E$8)^(10-1))*Inputs!$E$10))-(((((((Inputs!$E$3*(1+Inputs!$E$4)^(10-1))*Inputs!$E$5)*Inputs!$E$6)+((Inputs!$E$7*(1+Inputs!$E$8)^(10-1))*Inputs!$E$9)+(Inputs!$E$11*(1+Inputs!$E$12)^(10-1))+(IF(10&lt;Inputs!$E$13,0,Inputs!$E$14*(1+Inputs!$E$15)^(10-Inputs!$E$13)*Inputs!$E$16))))*Inputs!$E$29))-((Inputs!$E$19+Inputs!$E$20+(Inputs!$E$21*$C6)+Inputs!$E$22+Inputs!$E$23))-(IF(AND(Inputs!$E$24&gt;0,10=Inputs!$E$24),Inputs!$E$25,0)))),0)*Inputs!$E$28))))+(IF(AND(Inputs!$E$17&gt;0,10=Inputs!$E$17),Inputs!$E$18,0))))</f>
        <v/>
      </c>
      <c r="Q6" s="8">
        <f>P6+(((((((((Inputs!$E$3*(1+Inputs!$E$4)^(11-1))*Inputs!$E$5)*Inputs!$E$6)+((Inputs!$E$7*(1+Inputs!$E$8)^(11-1))*Inputs!$E$9)+(Inputs!$E$11*(1+Inputs!$E$12)^(11-1))+(IF(11&lt;Inputs!$E$13,0,Inputs!$E$14*(1+Inputs!$E$15)^(11-Inputs!$E$13)*Inputs!$E$16))))-(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+(((Inputs!$E$7*(1+Inputs!$E$8)^(11-1))*Inputs!$E$10))+(((((((Inputs!$E$3*(1+Inputs!$E$4)^(11-1))*Inputs!$E$5)*Inputs!$E$6)+((Inputs!$E$7*(1+Inputs!$E$8)^(11-1))*Inputs!$E$9)+(Inputs!$E$11*(1+Inputs!$E$12)^(11-1))+(IF(11&lt;Inputs!$E$13,0,Inputs!$E$14*(1+Inputs!$E$15)^(11-Inputs!$E$13)*Inputs!$E$16))))*Inputs!$E$29))+((Inputs!$E$19+Inputs!$E$20+(Inputs!$E$21*$C6)+Inputs!$E$22+Inputs!$E$23))+(IF(AND(Inputs!$E$24&gt;0,11=Inputs!$E$24),Inputs!$E$25,0))+(MAX((((((((Inputs!$E$3*(1+Inputs!$E$4)^(11-1))*Inputs!$E$5)*Inputs!$E$6)+((Inputs!$E$7*(1+Inputs!$E$8)^(11-1))*Inputs!$E$9)+(Inputs!$E$11*(1+Inputs!$E$12)^(11-1))+(IF(11&lt;Inputs!$E$13,0,Inputs!$E$14*(1+Inputs!$E$15)^(11-Inputs!$E$13)*Inputs!$E$16))))-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-(((Inputs!$E$7*(1+Inputs!$E$8)^(11-1))*Inputs!$E$10))-(((((((Inputs!$E$3*(1+Inputs!$E$4)^(11-1))*Inputs!$E$5)*Inputs!$E$6)+((Inputs!$E$7*(1+Inputs!$E$8)^(11-1))*Inputs!$E$9)+(Inputs!$E$11*(1+Inputs!$E$12)^(11-1))+(IF(11&lt;Inputs!$E$13,0,Inputs!$E$14*(1+Inputs!$E$15)^(11-Inputs!$E$13)*Inputs!$E$16))))*Inputs!$E$29))-((Inputs!$E$19+Inputs!$E$20+(Inputs!$E$21*$C6)+Inputs!$E$22+Inputs!$E$23))-(IF(AND(Inputs!$E$24&gt;0,11=Inputs!$E$24),Inputs!$E$25,0)))),0)*Inputs!$E$28))))+(IF(AND(Inputs!$E$17&gt;0,11=Inputs!$E$17),Inputs!$E$18,0))))</f>
        <v/>
      </c>
      <c r="R6" s="8">
        <f>Q6+(((((((((Inputs!$E$3*(1+Inputs!$E$4)^(12-1))*Inputs!$E$5)*Inputs!$E$6)+((Inputs!$E$7*(1+Inputs!$E$8)^(12-1))*Inputs!$E$9)+(Inputs!$E$11*(1+Inputs!$E$12)^(12-1))+(IF(12&lt;Inputs!$E$13,0,Inputs!$E$14*(1+Inputs!$E$15)^(12-Inputs!$E$13)*Inputs!$E$16))))-(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+(((Inputs!$E$7*(1+Inputs!$E$8)^(12-1))*Inputs!$E$10))+(((((((Inputs!$E$3*(1+Inputs!$E$4)^(12-1))*Inputs!$E$5)*Inputs!$E$6)+((Inputs!$E$7*(1+Inputs!$E$8)^(12-1))*Inputs!$E$9)+(Inputs!$E$11*(1+Inputs!$E$12)^(12-1))+(IF(12&lt;Inputs!$E$13,0,Inputs!$E$14*(1+Inputs!$E$15)^(12-Inputs!$E$13)*Inputs!$E$16))))*Inputs!$E$29))+((Inputs!$E$19+Inputs!$E$20+(Inputs!$E$21*$C6)+Inputs!$E$22+Inputs!$E$23))+(IF(AND(Inputs!$E$24&gt;0,12=Inputs!$E$24),Inputs!$E$25,0))+(MAX((((((((Inputs!$E$3*(1+Inputs!$E$4)^(12-1))*Inputs!$E$5)*Inputs!$E$6)+((Inputs!$E$7*(1+Inputs!$E$8)^(12-1))*Inputs!$E$9)+(Inputs!$E$11*(1+Inputs!$E$12)^(12-1))+(IF(12&lt;Inputs!$E$13,0,Inputs!$E$14*(1+Inputs!$E$15)^(12-Inputs!$E$13)*Inputs!$E$16))))-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-(((Inputs!$E$7*(1+Inputs!$E$8)^(12-1))*Inputs!$E$10))-(((((((Inputs!$E$3*(1+Inputs!$E$4)^(12-1))*Inputs!$E$5)*Inputs!$E$6)+((Inputs!$E$7*(1+Inputs!$E$8)^(12-1))*Inputs!$E$9)+(Inputs!$E$11*(1+Inputs!$E$12)^(12-1))+(IF(12&lt;Inputs!$E$13,0,Inputs!$E$14*(1+Inputs!$E$15)^(12-Inputs!$E$13)*Inputs!$E$16))))*Inputs!$E$29))-((Inputs!$E$19+Inputs!$E$20+(Inputs!$E$21*$C6)+Inputs!$E$22+Inputs!$E$23))-(IF(AND(Inputs!$E$24&gt;0,12=Inputs!$E$24),Inputs!$E$25,0)))),0)*Inputs!$E$28))))+(IF(AND(Inputs!$E$17&gt;0,12=Inputs!$E$17),Inputs!$E$18,0))))</f>
        <v/>
      </c>
      <c r="S6" s="8">
        <f>R6+(((((((((Inputs!$E$3*(1+Inputs!$E$4)^(13-1))*Inputs!$E$5)*Inputs!$E$6)+((Inputs!$E$7*(1+Inputs!$E$8)^(13-1))*Inputs!$E$9)+(Inputs!$E$11*(1+Inputs!$E$12)^(13-1))+(IF(13&lt;Inputs!$E$13,0,Inputs!$E$14*(1+Inputs!$E$15)^(13-Inputs!$E$13)*Inputs!$E$16))))-(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+(((Inputs!$E$7*(1+Inputs!$E$8)^(13-1))*Inputs!$E$10))+(((((((Inputs!$E$3*(1+Inputs!$E$4)^(13-1))*Inputs!$E$5)*Inputs!$E$6)+((Inputs!$E$7*(1+Inputs!$E$8)^(13-1))*Inputs!$E$9)+(Inputs!$E$11*(1+Inputs!$E$12)^(13-1))+(IF(13&lt;Inputs!$E$13,0,Inputs!$E$14*(1+Inputs!$E$15)^(13-Inputs!$E$13)*Inputs!$E$16))))*Inputs!$E$29))+((Inputs!$E$19+Inputs!$E$20+(Inputs!$E$21*$C6)+Inputs!$E$22+Inputs!$E$23))+(IF(AND(Inputs!$E$24&gt;0,13=Inputs!$E$24),Inputs!$E$25,0))+(MAX((((((((Inputs!$E$3*(1+Inputs!$E$4)^(13-1))*Inputs!$E$5)*Inputs!$E$6)+((Inputs!$E$7*(1+Inputs!$E$8)^(13-1))*Inputs!$E$9)+(Inputs!$E$11*(1+Inputs!$E$12)^(13-1))+(IF(13&lt;Inputs!$E$13,0,Inputs!$E$14*(1+Inputs!$E$15)^(13-Inputs!$E$13)*Inputs!$E$16))))-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-(((Inputs!$E$7*(1+Inputs!$E$8)^(13-1))*Inputs!$E$10))-(((((((Inputs!$E$3*(1+Inputs!$E$4)^(13-1))*Inputs!$E$5)*Inputs!$E$6)+((Inputs!$E$7*(1+Inputs!$E$8)^(13-1))*Inputs!$E$9)+(Inputs!$E$11*(1+Inputs!$E$12)^(13-1))+(IF(13&lt;Inputs!$E$13,0,Inputs!$E$14*(1+Inputs!$E$15)^(13-Inputs!$E$13)*Inputs!$E$16))))*Inputs!$E$29))-((Inputs!$E$19+Inputs!$E$20+(Inputs!$E$21*$C6)+Inputs!$E$22+Inputs!$E$23))-(IF(AND(Inputs!$E$24&gt;0,13=Inputs!$E$24),Inputs!$E$25,0)))),0)*Inputs!$E$28))))+(IF(AND(Inputs!$E$17&gt;0,13=Inputs!$E$17),Inputs!$E$18,0))))</f>
        <v/>
      </c>
      <c r="T6" s="8">
        <f>S6+(((((((((Inputs!$E$3*(1+Inputs!$E$4)^(14-1))*Inputs!$E$5)*Inputs!$E$6)+((Inputs!$E$7*(1+Inputs!$E$8)^(14-1))*Inputs!$E$9)+(Inputs!$E$11*(1+Inputs!$E$12)^(14-1))+(IF(14&lt;Inputs!$E$13,0,Inputs!$E$14*(1+Inputs!$E$15)^(14-Inputs!$E$13)*Inputs!$E$16))))-(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+(((Inputs!$E$7*(1+Inputs!$E$8)^(14-1))*Inputs!$E$10))+(((((((Inputs!$E$3*(1+Inputs!$E$4)^(14-1))*Inputs!$E$5)*Inputs!$E$6)+((Inputs!$E$7*(1+Inputs!$E$8)^(14-1))*Inputs!$E$9)+(Inputs!$E$11*(1+Inputs!$E$12)^(14-1))+(IF(14&lt;Inputs!$E$13,0,Inputs!$E$14*(1+Inputs!$E$15)^(14-Inputs!$E$13)*Inputs!$E$16))))*Inputs!$E$29))+((Inputs!$E$19+Inputs!$E$20+(Inputs!$E$21*$C6)+Inputs!$E$22+Inputs!$E$23))+(IF(AND(Inputs!$E$24&gt;0,14=Inputs!$E$24),Inputs!$E$25,0))+(MAX((((((((Inputs!$E$3*(1+Inputs!$E$4)^(14-1))*Inputs!$E$5)*Inputs!$E$6)+((Inputs!$E$7*(1+Inputs!$E$8)^(14-1))*Inputs!$E$9)+(Inputs!$E$11*(1+Inputs!$E$12)^(14-1))+(IF(14&lt;Inputs!$E$13,0,Inputs!$E$14*(1+Inputs!$E$15)^(14-Inputs!$E$13)*Inputs!$E$16))))-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-(((Inputs!$E$7*(1+Inputs!$E$8)^(14-1))*Inputs!$E$10))-(((((((Inputs!$E$3*(1+Inputs!$E$4)^(14-1))*Inputs!$E$5)*Inputs!$E$6)+((Inputs!$E$7*(1+Inputs!$E$8)^(14-1))*Inputs!$E$9)+(Inputs!$E$11*(1+Inputs!$E$12)^(14-1))+(IF(14&lt;Inputs!$E$13,0,Inputs!$E$14*(1+Inputs!$E$15)^(14-Inputs!$E$13)*Inputs!$E$16))))*Inputs!$E$29))-((Inputs!$E$19+Inputs!$E$20+(Inputs!$E$21*$C6)+Inputs!$E$22+Inputs!$E$23))-(IF(AND(Inputs!$E$24&gt;0,14=Inputs!$E$24),Inputs!$E$25,0)))),0)*Inputs!$E$28))))+(IF(AND(Inputs!$E$17&gt;0,14=Inputs!$E$17),Inputs!$E$18,0))))</f>
        <v/>
      </c>
      <c r="U6" s="8">
        <f>T6+(((((((((Inputs!$E$3*(1+Inputs!$E$4)^(15-1))*Inputs!$E$5)*Inputs!$E$6)+((Inputs!$E$7*(1+Inputs!$E$8)^(15-1))*Inputs!$E$9)+(Inputs!$E$11*(1+Inputs!$E$12)^(15-1))+(IF(15&lt;Inputs!$E$13,0,Inputs!$E$14*(1+Inputs!$E$15)^(15-Inputs!$E$13)*Inputs!$E$16))))-(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+(((Inputs!$E$7*(1+Inputs!$E$8)^(15-1))*Inputs!$E$10))+(((((((Inputs!$E$3*(1+Inputs!$E$4)^(15-1))*Inputs!$E$5)*Inputs!$E$6)+((Inputs!$E$7*(1+Inputs!$E$8)^(15-1))*Inputs!$E$9)+(Inputs!$E$11*(1+Inputs!$E$12)^(15-1))+(IF(15&lt;Inputs!$E$13,0,Inputs!$E$14*(1+Inputs!$E$15)^(15-Inputs!$E$13)*Inputs!$E$16))))*Inputs!$E$29))+((Inputs!$E$19+Inputs!$E$20+(Inputs!$E$21*$C6)+Inputs!$E$22+Inputs!$E$23))+(IF(AND(Inputs!$E$24&gt;0,15=Inputs!$E$24),Inputs!$E$25,0))+(MAX((((((((Inputs!$E$3*(1+Inputs!$E$4)^(15-1))*Inputs!$E$5)*Inputs!$E$6)+((Inputs!$E$7*(1+Inputs!$E$8)^(15-1))*Inputs!$E$9)+(Inputs!$E$11*(1+Inputs!$E$12)^(15-1))+(IF(15&lt;Inputs!$E$13,0,Inputs!$E$14*(1+Inputs!$E$15)^(15-Inputs!$E$13)*Inputs!$E$16))))-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-(((Inputs!$E$7*(1+Inputs!$E$8)^(15-1))*Inputs!$E$10))-(((((((Inputs!$E$3*(1+Inputs!$E$4)^(15-1))*Inputs!$E$5)*Inputs!$E$6)+((Inputs!$E$7*(1+Inputs!$E$8)^(15-1))*Inputs!$E$9)+(Inputs!$E$11*(1+Inputs!$E$12)^(15-1))+(IF(15&lt;Inputs!$E$13,0,Inputs!$E$14*(1+Inputs!$E$15)^(15-Inputs!$E$13)*Inputs!$E$16))))*Inputs!$E$29))-((Inputs!$E$19+Inputs!$E$20+(Inputs!$E$21*$C6)+Inputs!$E$22+Inputs!$E$23))-(IF(AND(Inputs!$E$24&gt;0,15=Inputs!$E$24),Inputs!$E$25,0)))),0)*Inputs!$E$28))))+(IF(AND(Inputs!$E$17&gt;0,15=Inputs!$E$17),Inputs!$E$18,0))))</f>
        <v/>
      </c>
      <c r="V6" s="8">
        <f>U6+(((((((((Inputs!$E$3*(1+Inputs!$E$4)^(16-1))*Inputs!$E$5)*Inputs!$E$6)+((Inputs!$E$7*(1+Inputs!$E$8)^(16-1))*Inputs!$E$9)+(Inputs!$E$11*(1+Inputs!$E$12)^(16-1))+(IF(16&lt;Inputs!$E$13,0,Inputs!$E$14*(1+Inputs!$E$15)^(16-Inputs!$E$13)*Inputs!$E$16))))-(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+(((Inputs!$E$7*(1+Inputs!$E$8)^(16-1))*Inputs!$E$10))+(((((((Inputs!$E$3*(1+Inputs!$E$4)^(16-1))*Inputs!$E$5)*Inputs!$E$6)+((Inputs!$E$7*(1+Inputs!$E$8)^(16-1))*Inputs!$E$9)+(Inputs!$E$11*(1+Inputs!$E$12)^(16-1))+(IF(16&lt;Inputs!$E$13,0,Inputs!$E$14*(1+Inputs!$E$15)^(16-Inputs!$E$13)*Inputs!$E$16))))*Inputs!$E$29))+((Inputs!$E$19+Inputs!$E$20+(Inputs!$E$21*$C6)+Inputs!$E$22+Inputs!$E$23))+(IF(AND(Inputs!$E$24&gt;0,16=Inputs!$E$24),Inputs!$E$25,0))+(MAX((((((((Inputs!$E$3*(1+Inputs!$E$4)^(16-1))*Inputs!$E$5)*Inputs!$E$6)+((Inputs!$E$7*(1+Inputs!$E$8)^(16-1))*Inputs!$E$9)+(Inputs!$E$11*(1+Inputs!$E$12)^(16-1))+(IF(16&lt;Inputs!$E$13,0,Inputs!$E$14*(1+Inputs!$E$15)^(16-Inputs!$E$13)*Inputs!$E$16))))-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-(((Inputs!$E$7*(1+Inputs!$E$8)^(16-1))*Inputs!$E$10))-(((((((Inputs!$E$3*(1+Inputs!$E$4)^(16-1))*Inputs!$E$5)*Inputs!$E$6)+((Inputs!$E$7*(1+Inputs!$E$8)^(16-1))*Inputs!$E$9)+(Inputs!$E$11*(1+Inputs!$E$12)^(16-1))+(IF(16&lt;Inputs!$E$13,0,Inputs!$E$14*(1+Inputs!$E$15)^(16-Inputs!$E$13)*Inputs!$E$16))))*Inputs!$E$29))-((Inputs!$E$19+Inputs!$E$20+(Inputs!$E$21*$C6)+Inputs!$E$22+Inputs!$E$23))-(IF(AND(Inputs!$E$24&gt;0,16=Inputs!$E$24),Inputs!$E$25,0)))),0)*Inputs!$E$28))))+(IF(AND(Inputs!$E$17&gt;0,16=Inputs!$E$17),Inputs!$E$18,0))))</f>
        <v/>
      </c>
      <c r="W6" s="8">
        <f>V6+(((((((((Inputs!$E$3*(1+Inputs!$E$4)^(17-1))*Inputs!$E$5)*Inputs!$E$6)+((Inputs!$E$7*(1+Inputs!$E$8)^(17-1))*Inputs!$E$9)+(Inputs!$E$11*(1+Inputs!$E$12)^(17-1))+(IF(17&lt;Inputs!$E$13,0,Inputs!$E$14*(1+Inputs!$E$15)^(17-Inputs!$E$13)*Inputs!$E$16))))-(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+(((Inputs!$E$7*(1+Inputs!$E$8)^(17-1))*Inputs!$E$10))+(((((((Inputs!$E$3*(1+Inputs!$E$4)^(17-1))*Inputs!$E$5)*Inputs!$E$6)+((Inputs!$E$7*(1+Inputs!$E$8)^(17-1))*Inputs!$E$9)+(Inputs!$E$11*(1+Inputs!$E$12)^(17-1))+(IF(17&lt;Inputs!$E$13,0,Inputs!$E$14*(1+Inputs!$E$15)^(17-Inputs!$E$13)*Inputs!$E$16))))*Inputs!$E$29))+((Inputs!$E$19+Inputs!$E$20+(Inputs!$E$21*$C6)+Inputs!$E$22+Inputs!$E$23))+(IF(AND(Inputs!$E$24&gt;0,17=Inputs!$E$24),Inputs!$E$25,0))+(MAX((((((((Inputs!$E$3*(1+Inputs!$E$4)^(17-1))*Inputs!$E$5)*Inputs!$E$6)+((Inputs!$E$7*(1+Inputs!$E$8)^(17-1))*Inputs!$E$9)+(Inputs!$E$11*(1+Inputs!$E$12)^(17-1))+(IF(17&lt;Inputs!$E$13,0,Inputs!$E$14*(1+Inputs!$E$15)^(17-Inputs!$E$13)*Inputs!$E$16))))-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-(((Inputs!$E$7*(1+Inputs!$E$8)^(17-1))*Inputs!$E$10))-(((((((Inputs!$E$3*(1+Inputs!$E$4)^(17-1))*Inputs!$E$5)*Inputs!$E$6)+((Inputs!$E$7*(1+Inputs!$E$8)^(17-1))*Inputs!$E$9)+(Inputs!$E$11*(1+Inputs!$E$12)^(17-1))+(IF(17&lt;Inputs!$E$13,0,Inputs!$E$14*(1+Inputs!$E$15)^(17-Inputs!$E$13)*Inputs!$E$16))))*Inputs!$E$29))-((Inputs!$E$19+Inputs!$E$20+(Inputs!$E$21*$C6)+Inputs!$E$22+Inputs!$E$23))-(IF(AND(Inputs!$E$24&gt;0,17=Inputs!$E$24),Inputs!$E$25,0)))),0)*Inputs!$E$28))))+(IF(AND(Inputs!$E$17&gt;0,17=Inputs!$E$17),Inputs!$E$18,0))))</f>
        <v/>
      </c>
      <c r="X6" s="8">
        <f>W6+(((((((((Inputs!$E$3*(1+Inputs!$E$4)^(18-1))*Inputs!$E$5)*Inputs!$E$6)+((Inputs!$E$7*(1+Inputs!$E$8)^(18-1))*Inputs!$E$9)+(Inputs!$E$11*(1+Inputs!$E$12)^(18-1))+(IF(18&lt;Inputs!$E$13,0,Inputs!$E$14*(1+Inputs!$E$15)^(18-Inputs!$E$13)*Inputs!$E$16))))-(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+(((Inputs!$E$7*(1+Inputs!$E$8)^(18-1))*Inputs!$E$10))+(((((((Inputs!$E$3*(1+Inputs!$E$4)^(18-1))*Inputs!$E$5)*Inputs!$E$6)+((Inputs!$E$7*(1+Inputs!$E$8)^(18-1))*Inputs!$E$9)+(Inputs!$E$11*(1+Inputs!$E$12)^(18-1))+(IF(18&lt;Inputs!$E$13,0,Inputs!$E$14*(1+Inputs!$E$15)^(18-Inputs!$E$13)*Inputs!$E$16))))*Inputs!$E$29))+((Inputs!$E$19+Inputs!$E$20+(Inputs!$E$21*$C6)+Inputs!$E$22+Inputs!$E$23))+(IF(AND(Inputs!$E$24&gt;0,18=Inputs!$E$24),Inputs!$E$25,0))+(MAX((((((((Inputs!$E$3*(1+Inputs!$E$4)^(18-1))*Inputs!$E$5)*Inputs!$E$6)+((Inputs!$E$7*(1+Inputs!$E$8)^(18-1))*Inputs!$E$9)+(Inputs!$E$11*(1+Inputs!$E$12)^(18-1))+(IF(18&lt;Inputs!$E$13,0,Inputs!$E$14*(1+Inputs!$E$15)^(18-Inputs!$E$13)*Inputs!$E$16))))-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-(((Inputs!$E$7*(1+Inputs!$E$8)^(18-1))*Inputs!$E$10))-(((((((Inputs!$E$3*(1+Inputs!$E$4)^(18-1))*Inputs!$E$5)*Inputs!$E$6)+((Inputs!$E$7*(1+Inputs!$E$8)^(18-1))*Inputs!$E$9)+(Inputs!$E$11*(1+Inputs!$E$12)^(18-1))+(IF(18&lt;Inputs!$E$13,0,Inputs!$E$14*(1+Inputs!$E$15)^(18-Inputs!$E$13)*Inputs!$E$16))))*Inputs!$E$29))-((Inputs!$E$19+Inputs!$E$20+(Inputs!$E$21*$C6)+Inputs!$E$22+Inputs!$E$23))-(IF(AND(Inputs!$E$24&gt;0,18=Inputs!$E$24),Inputs!$E$25,0)))),0)*Inputs!$E$28))))+(IF(AND(Inputs!$E$17&gt;0,18=Inputs!$E$17),Inputs!$E$18,0))))</f>
        <v/>
      </c>
      <c r="Y6" s="8">
        <f>X6+(((((((((Inputs!$E$3*(1+Inputs!$E$4)^(19-1))*Inputs!$E$5)*Inputs!$E$6)+((Inputs!$E$7*(1+Inputs!$E$8)^(19-1))*Inputs!$E$9)+(Inputs!$E$11*(1+Inputs!$E$12)^(19-1))+(IF(19&lt;Inputs!$E$13,0,Inputs!$E$14*(1+Inputs!$E$15)^(19-Inputs!$E$13)*Inputs!$E$16))))-(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+(((Inputs!$E$7*(1+Inputs!$E$8)^(19-1))*Inputs!$E$10))+(((((((Inputs!$E$3*(1+Inputs!$E$4)^(19-1))*Inputs!$E$5)*Inputs!$E$6)+((Inputs!$E$7*(1+Inputs!$E$8)^(19-1))*Inputs!$E$9)+(Inputs!$E$11*(1+Inputs!$E$12)^(19-1))+(IF(19&lt;Inputs!$E$13,0,Inputs!$E$14*(1+Inputs!$E$15)^(19-Inputs!$E$13)*Inputs!$E$16))))*Inputs!$E$29))+((Inputs!$E$19+Inputs!$E$20+(Inputs!$E$21*$C6)+Inputs!$E$22+Inputs!$E$23))+(IF(AND(Inputs!$E$24&gt;0,19=Inputs!$E$24),Inputs!$E$25,0))+(MAX((((((((Inputs!$E$3*(1+Inputs!$E$4)^(19-1))*Inputs!$E$5)*Inputs!$E$6)+((Inputs!$E$7*(1+Inputs!$E$8)^(19-1))*Inputs!$E$9)+(Inputs!$E$11*(1+Inputs!$E$12)^(19-1))+(IF(19&lt;Inputs!$E$13,0,Inputs!$E$14*(1+Inputs!$E$15)^(19-Inputs!$E$13)*Inputs!$E$16))))-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-(((Inputs!$E$7*(1+Inputs!$E$8)^(19-1))*Inputs!$E$10))-(((((((Inputs!$E$3*(1+Inputs!$E$4)^(19-1))*Inputs!$E$5)*Inputs!$E$6)+((Inputs!$E$7*(1+Inputs!$E$8)^(19-1))*Inputs!$E$9)+(Inputs!$E$11*(1+Inputs!$E$12)^(19-1))+(IF(19&lt;Inputs!$E$13,0,Inputs!$E$14*(1+Inputs!$E$15)^(19-Inputs!$E$13)*Inputs!$E$16))))*Inputs!$E$29))-((Inputs!$E$19+Inputs!$E$20+(Inputs!$E$21*$C6)+Inputs!$E$22+Inputs!$E$23))-(IF(AND(Inputs!$E$24&gt;0,19=Inputs!$E$24),Inputs!$E$25,0)))),0)*Inputs!$E$28))))+(IF(AND(Inputs!$E$17&gt;0,19=Inputs!$E$17),Inputs!$E$18,0))))</f>
        <v/>
      </c>
      <c r="Z6" s="8">
        <f>Y6+(((((((((Inputs!$E$3*(1+Inputs!$E$4)^(20-1))*Inputs!$E$5)*Inputs!$E$6)+((Inputs!$E$7*(1+Inputs!$E$8)^(20-1))*Inputs!$E$9)+(Inputs!$E$11*(1+Inputs!$E$12)^(20-1))+(IF(20&lt;Inputs!$E$13,0,Inputs!$E$14*(1+Inputs!$E$15)^(20-Inputs!$E$13)*Inputs!$E$16))))-(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+(((Inputs!$E$7*(1+Inputs!$E$8)^(20-1))*Inputs!$E$10))+(((((((Inputs!$E$3*(1+Inputs!$E$4)^(20-1))*Inputs!$E$5)*Inputs!$E$6)+((Inputs!$E$7*(1+Inputs!$E$8)^(20-1))*Inputs!$E$9)+(Inputs!$E$11*(1+Inputs!$E$12)^(20-1))+(IF(20&lt;Inputs!$E$13,0,Inputs!$E$14*(1+Inputs!$E$15)^(20-Inputs!$E$13)*Inputs!$E$16))))*Inputs!$E$29))+((Inputs!$E$19+Inputs!$E$20+(Inputs!$E$21*$C6)+Inputs!$E$22+Inputs!$E$23))+(IF(AND(Inputs!$E$24&gt;0,20=Inputs!$E$24),Inputs!$E$25,0))+(MAX((((((((Inputs!$E$3*(1+Inputs!$E$4)^(20-1))*Inputs!$E$5)*Inputs!$E$6)+((Inputs!$E$7*(1+Inputs!$E$8)^(20-1))*Inputs!$E$9)+(Inputs!$E$11*(1+Inputs!$E$12)^(20-1))+(IF(20&lt;Inputs!$E$13,0,Inputs!$E$14*(1+Inputs!$E$15)^(20-Inputs!$E$13)*Inputs!$E$16))))-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-(((Inputs!$E$7*(1+Inputs!$E$8)^(20-1))*Inputs!$E$10))-(((((((Inputs!$E$3*(1+Inputs!$E$4)^(20-1))*Inputs!$E$5)*Inputs!$E$6)+((Inputs!$E$7*(1+Inputs!$E$8)^(20-1))*Inputs!$E$9)+(Inputs!$E$11*(1+Inputs!$E$12)^(20-1))+(IF(20&lt;Inputs!$E$13,0,Inputs!$E$14*(1+Inputs!$E$15)^(20-Inputs!$E$13)*Inputs!$E$16))))*Inputs!$E$29))-((Inputs!$E$19+Inputs!$E$20+(Inputs!$E$21*$C6)+Inputs!$E$22+Inputs!$E$23))-(IF(AND(Inputs!$E$24&gt;0,20=Inputs!$E$24),Inputs!$E$25,0)))),0)*Inputs!$E$28))))+(IF(AND(Inputs!$E$17&gt;0,20=Inputs!$E$17),Inputs!$E$18,0))))</f>
        <v/>
      </c>
      <c r="AA6" s="8">
        <f>Z6+(((((((((Inputs!$E$3*(1+Inputs!$E$4)^(21-1))*Inputs!$E$5)*Inputs!$E$6)+((Inputs!$E$7*(1+Inputs!$E$8)^(21-1))*Inputs!$E$9)+(Inputs!$E$11*(1+Inputs!$E$12)^(21-1))+(IF(21&lt;Inputs!$E$13,0,Inputs!$E$14*(1+Inputs!$E$15)^(21-Inputs!$E$13)*Inputs!$E$16))))-(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+(((Inputs!$E$7*(1+Inputs!$E$8)^(21-1))*Inputs!$E$10))+(((((((Inputs!$E$3*(1+Inputs!$E$4)^(21-1))*Inputs!$E$5)*Inputs!$E$6)+((Inputs!$E$7*(1+Inputs!$E$8)^(21-1))*Inputs!$E$9)+(Inputs!$E$11*(1+Inputs!$E$12)^(21-1))+(IF(21&lt;Inputs!$E$13,0,Inputs!$E$14*(1+Inputs!$E$15)^(21-Inputs!$E$13)*Inputs!$E$16))))*Inputs!$E$29))+((Inputs!$E$19+Inputs!$E$20+(Inputs!$E$21*$C6)+Inputs!$E$22+Inputs!$E$23))+(IF(AND(Inputs!$E$24&gt;0,21=Inputs!$E$24),Inputs!$E$25,0))+(MAX((((((((Inputs!$E$3*(1+Inputs!$E$4)^(21-1))*Inputs!$E$5)*Inputs!$E$6)+((Inputs!$E$7*(1+Inputs!$E$8)^(21-1))*Inputs!$E$9)+(Inputs!$E$11*(1+Inputs!$E$12)^(21-1))+(IF(21&lt;Inputs!$E$13,0,Inputs!$E$14*(1+Inputs!$E$15)^(21-Inputs!$E$13)*Inputs!$E$16))))-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-(((Inputs!$E$7*(1+Inputs!$E$8)^(21-1))*Inputs!$E$10))-(((((((Inputs!$E$3*(1+Inputs!$E$4)^(21-1))*Inputs!$E$5)*Inputs!$E$6)+((Inputs!$E$7*(1+Inputs!$E$8)^(21-1))*Inputs!$E$9)+(Inputs!$E$11*(1+Inputs!$E$12)^(21-1))+(IF(21&lt;Inputs!$E$13,0,Inputs!$E$14*(1+Inputs!$E$15)^(21-Inputs!$E$13)*Inputs!$E$16))))*Inputs!$E$29))-((Inputs!$E$19+Inputs!$E$20+(Inputs!$E$21*$C6)+Inputs!$E$22+Inputs!$E$23))-(IF(AND(Inputs!$E$24&gt;0,21=Inputs!$E$24),Inputs!$E$25,0)))),0)*Inputs!$E$28))))+(IF(AND(Inputs!$E$17&gt;0,21=Inputs!$E$17),Inputs!$E$18,0))))</f>
        <v/>
      </c>
      <c r="AB6" s="8">
        <f>AA6+(((((((((Inputs!$E$3*(1+Inputs!$E$4)^(22-1))*Inputs!$E$5)*Inputs!$E$6)+((Inputs!$E$7*(1+Inputs!$E$8)^(22-1))*Inputs!$E$9)+(Inputs!$E$11*(1+Inputs!$E$12)^(22-1))+(IF(22&lt;Inputs!$E$13,0,Inputs!$E$14*(1+Inputs!$E$15)^(22-Inputs!$E$13)*Inputs!$E$16))))-(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+(((Inputs!$E$7*(1+Inputs!$E$8)^(22-1))*Inputs!$E$10))+(((((((Inputs!$E$3*(1+Inputs!$E$4)^(22-1))*Inputs!$E$5)*Inputs!$E$6)+((Inputs!$E$7*(1+Inputs!$E$8)^(22-1))*Inputs!$E$9)+(Inputs!$E$11*(1+Inputs!$E$12)^(22-1))+(IF(22&lt;Inputs!$E$13,0,Inputs!$E$14*(1+Inputs!$E$15)^(22-Inputs!$E$13)*Inputs!$E$16))))*Inputs!$E$29))+((Inputs!$E$19+Inputs!$E$20+(Inputs!$E$21*$C6)+Inputs!$E$22+Inputs!$E$23))+(IF(AND(Inputs!$E$24&gt;0,22=Inputs!$E$24),Inputs!$E$25,0))+(MAX((((((((Inputs!$E$3*(1+Inputs!$E$4)^(22-1))*Inputs!$E$5)*Inputs!$E$6)+((Inputs!$E$7*(1+Inputs!$E$8)^(22-1))*Inputs!$E$9)+(Inputs!$E$11*(1+Inputs!$E$12)^(22-1))+(IF(22&lt;Inputs!$E$13,0,Inputs!$E$14*(1+Inputs!$E$15)^(22-Inputs!$E$13)*Inputs!$E$16))))-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-(((Inputs!$E$7*(1+Inputs!$E$8)^(22-1))*Inputs!$E$10))-(((((((Inputs!$E$3*(1+Inputs!$E$4)^(22-1))*Inputs!$E$5)*Inputs!$E$6)+((Inputs!$E$7*(1+Inputs!$E$8)^(22-1))*Inputs!$E$9)+(Inputs!$E$11*(1+Inputs!$E$12)^(22-1))+(IF(22&lt;Inputs!$E$13,0,Inputs!$E$14*(1+Inputs!$E$15)^(22-Inputs!$E$13)*Inputs!$E$16))))*Inputs!$E$29))-((Inputs!$E$19+Inputs!$E$20+(Inputs!$E$21*$C6)+Inputs!$E$22+Inputs!$E$23))-(IF(AND(Inputs!$E$24&gt;0,22=Inputs!$E$24),Inputs!$E$25,0)))),0)*Inputs!$E$28))))+(IF(AND(Inputs!$E$17&gt;0,22=Inputs!$E$17),Inputs!$E$18,0))))</f>
        <v/>
      </c>
      <c r="AC6" s="8">
        <f>AB6+(((((((((Inputs!$E$3*(1+Inputs!$E$4)^(23-1))*Inputs!$E$5)*Inputs!$E$6)+((Inputs!$E$7*(1+Inputs!$E$8)^(23-1))*Inputs!$E$9)+(Inputs!$E$11*(1+Inputs!$E$12)^(23-1))+(IF(23&lt;Inputs!$E$13,0,Inputs!$E$14*(1+Inputs!$E$15)^(23-Inputs!$E$13)*Inputs!$E$16))))-(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+(((Inputs!$E$7*(1+Inputs!$E$8)^(23-1))*Inputs!$E$10))+(((((((Inputs!$E$3*(1+Inputs!$E$4)^(23-1))*Inputs!$E$5)*Inputs!$E$6)+((Inputs!$E$7*(1+Inputs!$E$8)^(23-1))*Inputs!$E$9)+(Inputs!$E$11*(1+Inputs!$E$12)^(23-1))+(IF(23&lt;Inputs!$E$13,0,Inputs!$E$14*(1+Inputs!$E$15)^(23-Inputs!$E$13)*Inputs!$E$16))))*Inputs!$E$29))+((Inputs!$E$19+Inputs!$E$20+(Inputs!$E$21*$C6)+Inputs!$E$22+Inputs!$E$23))+(IF(AND(Inputs!$E$24&gt;0,23=Inputs!$E$24),Inputs!$E$25,0))+(MAX((((((((Inputs!$E$3*(1+Inputs!$E$4)^(23-1))*Inputs!$E$5)*Inputs!$E$6)+((Inputs!$E$7*(1+Inputs!$E$8)^(23-1))*Inputs!$E$9)+(Inputs!$E$11*(1+Inputs!$E$12)^(23-1))+(IF(23&lt;Inputs!$E$13,0,Inputs!$E$14*(1+Inputs!$E$15)^(23-Inputs!$E$13)*Inputs!$E$16))))-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-(((Inputs!$E$7*(1+Inputs!$E$8)^(23-1))*Inputs!$E$10))-(((((((Inputs!$E$3*(1+Inputs!$E$4)^(23-1))*Inputs!$E$5)*Inputs!$E$6)+((Inputs!$E$7*(1+Inputs!$E$8)^(23-1))*Inputs!$E$9)+(Inputs!$E$11*(1+Inputs!$E$12)^(23-1))+(IF(23&lt;Inputs!$E$13,0,Inputs!$E$14*(1+Inputs!$E$15)^(23-Inputs!$E$13)*Inputs!$E$16))))*Inputs!$E$29))-((Inputs!$E$19+Inputs!$E$20+(Inputs!$E$21*$C6)+Inputs!$E$22+Inputs!$E$23))-(IF(AND(Inputs!$E$24&gt;0,23=Inputs!$E$24),Inputs!$E$25,0)))),0)*Inputs!$E$28))))+(IF(AND(Inputs!$E$17&gt;0,23=Inputs!$E$17),Inputs!$E$18,0))))</f>
        <v/>
      </c>
      <c r="AD6" s="8">
        <f>AC6+(((((((((Inputs!$E$3*(1+Inputs!$E$4)^(24-1))*Inputs!$E$5)*Inputs!$E$6)+((Inputs!$E$7*(1+Inputs!$E$8)^(24-1))*Inputs!$E$9)+(Inputs!$E$11*(1+Inputs!$E$12)^(24-1))+(IF(24&lt;Inputs!$E$13,0,Inputs!$E$14*(1+Inputs!$E$15)^(24-Inputs!$E$13)*Inputs!$E$16))))-(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+(((Inputs!$E$7*(1+Inputs!$E$8)^(24-1))*Inputs!$E$10))+(((((((Inputs!$E$3*(1+Inputs!$E$4)^(24-1))*Inputs!$E$5)*Inputs!$E$6)+((Inputs!$E$7*(1+Inputs!$E$8)^(24-1))*Inputs!$E$9)+(Inputs!$E$11*(1+Inputs!$E$12)^(24-1))+(IF(24&lt;Inputs!$E$13,0,Inputs!$E$14*(1+Inputs!$E$15)^(24-Inputs!$E$13)*Inputs!$E$16))))*Inputs!$E$29))+((Inputs!$E$19+Inputs!$E$20+(Inputs!$E$21*$C6)+Inputs!$E$22+Inputs!$E$23))+(IF(AND(Inputs!$E$24&gt;0,24=Inputs!$E$24),Inputs!$E$25,0))+(MAX((((((((Inputs!$E$3*(1+Inputs!$E$4)^(24-1))*Inputs!$E$5)*Inputs!$E$6)+((Inputs!$E$7*(1+Inputs!$E$8)^(24-1))*Inputs!$E$9)+(Inputs!$E$11*(1+Inputs!$E$12)^(24-1))+(IF(24&lt;Inputs!$E$13,0,Inputs!$E$14*(1+Inputs!$E$15)^(24-Inputs!$E$13)*Inputs!$E$16))))-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-(((Inputs!$E$7*(1+Inputs!$E$8)^(24-1))*Inputs!$E$10))-(((((((Inputs!$E$3*(1+Inputs!$E$4)^(24-1))*Inputs!$E$5)*Inputs!$E$6)+((Inputs!$E$7*(1+Inputs!$E$8)^(24-1))*Inputs!$E$9)+(Inputs!$E$11*(1+Inputs!$E$12)^(24-1))+(IF(24&lt;Inputs!$E$13,0,Inputs!$E$14*(1+Inputs!$E$15)^(24-Inputs!$E$13)*Inputs!$E$16))))*Inputs!$E$29))-((Inputs!$E$19+Inputs!$E$20+(Inputs!$E$21*$C6)+Inputs!$E$22+Inputs!$E$23))-(IF(AND(Inputs!$E$24&gt;0,24=Inputs!$E$24),Inputs!$E$25,0)))),0)*Inputs!$E$28))))+(IF(AND(Inputs!$E$17&gt;0,24=Inputs!$E$17),Inputs!$E$18,0))))</f>
        <v/>
      </c>
      <c r="AE6" s="8">
        <f>AD6+(((((((((Inputs!$E$3*(1+Inputs!$E$4)^(25-1))*Inputs!$E$5)*Inputs!$E$6)+((Inputs!$E$7*(1+Inputs!$E$8)^(25-1))*Inputs!$E$9)+(Inputs!$E$11*(1+Inputs!$E$12)^(25-1))+(IF(25&lt;Inputs!$E$13,0,Inputs!$E$14*(1+Inputs!$E$15)^(25-Inputs!$E$13)*Inputs!$E$16))))-(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+(((Inputs!$E$7*(1+Inputs!$E$8)^(25-1))*Inputs!$E$10))+(((((((Inputs!$E$3*(1+Inputs!$E$4)^(25-1))*Inputs!$E$5)*Inputs!$E$6)+((Inputs!$E$7*(1+Inputs!$E$8)^(25-1))*Inputs!$E$9)+(Inputs!$E$11*(1+Inputs!$E$12)^(25-1))+(IF(25&lt;Inputs!$E$13,0,Inputs!$E$14*(1+Inputs!$E$15)^(25-Inputs!$E$13)*Inputs!$E$16))))*Inputs!$E$29))+((Inputs!$E$19+Inputs!$E$20+(Inputs!$E$21*$C6)+Inputs!$E$22+Inputs!$E$23))+(IF(AND(Inputs!$E$24&gt;0,25=Inputs!$E$24),Inputs!$E$25,0))+(MAX((((((((Inputs!$E$3*(1+Inputs!$E$4)^(25-1))*Inputs!$E$5)*Inputs!$E$6)+((Inputs!$E$7*(1+Inputs!$E$8)^(25-1))*Inputs!$E$9)+(Inputs!$E$11*(1+Inputs!$E$12)^(25-1))+(IF(25&lt;Inputs!$E$13,0,Inputs!$E$14*(1+Inputs!$E$15)^(25-Inputs!$E$13)*Inputs!$E$16))))-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-(((Inputs!$E$7*(1+Inputs!$E$8)^(25-1))*Inputs!$E$10))-(((((((Inputs!$E$3*(1+Inputs!$E$4)^(25-1))*Inputs!$E$5)*Inputs!$E$6)+((Inputs!$E$7*(1+Inputs!$E$8)^(25-1))*Inputs!$E$9)+(Inputs!$E$11*(1+Inputs!$E$12)^(25-1))+(IF(25&lt;Inputs!$E$13,0,Inputs!$E$14*(1+Inputs!$E$15)^(25-Inputs!$E$13)*Inputs!$E$16))))*Inputs!$E$29))-((Inputs!$E$19+Inputs!$E$20+(Inputs!$E$21*$C6)+Inputs!$E$22+Inputs!$E$23))-(IF(AND(Inputs!$E$24&gt;0,25=Inputs!$E$24),Inputs!$E$25,0)))),0)*Inputs!$E$28))))+(IF(AND(Inputs!$E$17&gt;0,25=Inputs!$E$17),Inputs!$E$18,0))))</f>
        <v/>
      </c>
      <c r="AF6" s="8">
        <f>AE6+(((((((((Inputs!$E$3*(1+Inputs!$E$4)^(26-1))*Inputs!$E$5)*Inputs!$E$6)+((Inputs!$E$7*(1+Inputs!$E$8)^(26-1))*Inputs!$E$9)+(Inputs!$E$11*(1+Inputs!$E$12)^(26-1))+(IF(26&lt;Inputs!$E$13,0,Inputs!$E$14*(1+Inputs!$E$15)^(26-Inputs!$E$13)*Inputs!$E$16))))-(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+(((Inputs!$E$7*(1+Inputs!$E$8)^(26-1))*Inputs!$E$10))+(((((((Inputs!$E$3*(1+Inputs!$E$4)^(26-1))*Inputs!$E$5)*Inputs!$E$6)+((Inputs!$E$7*(1+Inputs!$E$8)^(26-1))*Inputs!$E$9)+(Inputs!$E$11*(1+Inputs!$E$12)^(26-1))+(IF(26&lt;Inputs!$E$13,0,Inputs!$E$14*(1+Inputs!$E$15)^(26-Inputs!$E$13)*Inputs!$E$16))))*Inputs!$E$29))+((Inputs!$E$19+Inputs!$E$20+(Inputs!$E$21*$C6)+Inputs!$E$22+Inputs!$E$23))+(IF(AND(Inputs!$E$24&gt;0,26=Inputs!$E$24),Inputs!$E$25,0))+(MAX((((((((Inputs!$E$3*(1+Inputs!$E$4)^(26-1))*Inputs!$E$5)*Inputs!$E$6)+((Inputs!$E$7*(1+Inputs!$E$8)^(26-1))*Inputs!$E$9)+(Inputs!$E$11*(1+Inputs!$E$12)^(26-1))+(IF(26&lt;Inputs!$E$13,0,Inputs!$E$14*(1+Inputs!$E$15)^(26-Inputs!$E$13)*Inputs!$E$16))))-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-(((Inputs!$E$7*(1+Inputs!$E$8)^(26-1))*Inputs!$E$10))-(((((((Inputs!$E$3*(1+Inputs!$E$4)^(26-1))*Inputs!$E$5)*Inputs!$E$6)+((Inputs!$E$7*(1+Inputs!$E$8)^(26-1))*Inputs!$E$9)+(Inputs!$E$11*(1+Inputs!$E$12)^(26-1))+(IF(26&lt;Inputs!$E$13,0,Inputs!$E$14*(1+Inputs!$E$15)^(26-Inputs!$E$13)*Inputs!$E$16))))*Inputs!$E$29))-((Inputs!$E$19+Inputs!$E$20+(Inputs!$E$21*$C6)+Inputs!$E$22+Inputs!$E$23))-(IF(AND(Inputs!$E$24&gt;0,26=Inputs!$E$24),Inputs!$E$25,0)))),0)*Inputs!$E$28))))+(IF(AND(Inputs!$E$17&gt;0,26=Inputs!$E$17),Inputs!$E$18,0))))</f>
        <v/>
      </c>
      <c r="AG6" s="8">
        <f>AF6+(((((((((Inputs!$E$3*(1+Inputs!$E$4)^(27-1))*Inputs!$E$5)*Inputs!$E$6)+((Inputs!$E$7*(1+Inputs!$E$8)^(27-1))*Inputs!$E$9)+(Inputs!$E$11*(1+Inputs!$E$12)^(27-1))+(IF(27&lt;Inputs!$E$13,0,Inputs!$E$14*(1+Inputs!$E$15)^(27-Inputs!$E$13)*Inputs!$E$16))))-(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+(((Inputs!$E$7*(1+Inputs!$E$8)^(27-1))*Inputs!$E$10))+(((((((Inputs!$E$3*(1+Inputs!$E$4)^(27-1))*Inputs!$E$5)*Inputs!$E$6)+((Inputs!$E$7*(1+Inputs!$E$8)^(27-1))*Inputs!$E$9)+(Inputs!$E$11*(1+Inputs!$E$12)^(27-1))+(IF(27&lt;Inputs!$E$13,0,Inputs!$E$14*(1+Inputs!$E$15)^(27-Inputs!$E$13)*Inputs!$E$16))))*Inputs!$E$29))+((Inputs!$E$19+Inputs!$E$20+(Inputs!$E$21*$C6)+Inputs!$E$22+Inputs!$E$23))+(IF(AND(Inputs!$E$24&gt;0,27=Inputs!$E$24),Inputs!$E$25,0))+(MAX((((((((Inputs!$E$3*(1+Inputs!$E$4)^(27-1))*Inputs!$E$5)*Inputs!$E$6)+((Inputs!$E$7*(1+Inputs!$E$8)^(27-1))*Inputs!$E$9)+(Inputs!$E$11*(1+Inputs!$E$12)^(27-1))+(IF(27&lt;Inputs!$E$13,0,Inputs!$E$14*(1+Inputs!$E$15)^(27-Inputs!$E$13)*Inputs!$E$16))))-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-(((Inputs!$E$7*(1+Inputs!$E$8)^(27-1))*Inputs!$E$10))-(((((((Inputs!$E$3*(1+Inputs!$E$4)^(27-1))*Inputs!$E$5)*Inputs!$E$6)+((Inputs!$E$7*(1+Inputs!$E$8)^(27-1))*Inputs!$E$9)+(Inputs!$E$11*(1+Inputs!$E$12)^(27-1))+(IF(27&lt;Inputs!$E$13,0,Inputs!$E$14*(1+Inputs!$E$15)^(27-Inputs!$E$13)*Inputs!$E$16))))*Inputs!$E$29))-((Inputs!$E$19+Inputs!$E$20+(Inputs!$E$21*$C6)+Inputs!$E$22+Inputs!$E$23))-(IF(AND(Inputs!$E$24&gt;0,27=Inputs!$E$24),Inputs!$E$25,0)))),0)*Inputs!$E$28))))+(IF(AND(Inputs!$E$17&gt;0,27=Inputs!$E$17),Inputs!$E$18,0))))</f>
        <v/>
      </c>
      <c r="AH6" s="8">
        <f>AG6+(((((((((Inputs!$E$3*(1+Inputs!$E$4)^(28-1))*Inputs!$E$5)*Inputs!$E$6)+((Inputs!$E$7*(1+Inputs!$E$8)^(28-1))*Inputs!$E$9)+(Inputs!$E$11*(1+Inputs!$E$12)^(28-1))+(IF(28&lt;Inputs!$E$13,0,Inputs!$E$14*(1+Inputs!$E$15)^(28-Inputs!$E$13)*Inputs!$E$16))))-(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+(((Inputs!$E$7*(1+Inputs!$E$8)^(28-1))*Inputs!$E$10))+(((((((Inputs!$E$3*(1+Inputs!$E$4)^(28-1))*Inputs!$E$5)*Inputs!$E$6)+((Inputs!$E$7*(1+Inputs!$E$8)^(28-1))*Inputs!$E$9)+(Inputs!$E$11*(1+Inputs!$E$12)^(28-1))+(IF(28&lt;Inputs!$E$13,0,Inputs!$E$14*(1+Inputs!$E$15)^(28-Inputs!$E$13)*Inputs!$E$16))))*Inputs!$E$29))+((Inputs!$E$19+Inputs!$E$20+(Inputs!$E$21*$C6)+Inputs!$E$22+Inputs!$E$23))+(IF(AND(Inputs!$E$24&gt;0,28=Inputs!$E$24),Inputs!$E$25,0))+(MAX((((((((Inputs!$E$3*(1+Inputs!$E$4)^(28-1))*Inputs!$E$5)*Inputs!$E$6)+((Inputs!$E$7*(1+Inputs!$E$8)^(28-1))*Inputs!$E$9)+(Inputs!$E$11*(1+Inputs!$E$12)^(28-1))+(IF(28&lt;Inputs!$E$13,0,Inputs!$E$14*(1+Inputs!$E$15)^(28-Inputs!$E$13)*Inputs!$E$16))))-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-(((Inputs!$E$7*(1+Inputs!$E$8)^(28-1))*Inputs!$E$10))-(((((((Inputs!$E$3*(1+Inputs!$E$4)^(28-1))*Inputs!$E$5)*Inputs!$E$6)+((Inputs!$E$7*(1+Inputs!$E$8)^(28-1))*Inputs!$E$9)+(Inputs!$E$11*(1+Inputs!$E$12)^(28-1))+(IF(28&lt;Inputs!$E$13,0,Inputs!$E$14*(1+Inputs!$E$15)^(28-Inputs!$E$13)*Inputs!$E$16))))*Inputs!$E$29))-((Inputs!$E$19+Inputs!$E$20+(Inputs!$E$21*$C6)+Inputs!$E$22+Inputs!$E$23))-(IF(AND(Inputs!$E$24&gt;0,28=Inputs!$E$24),Inputs!$E$25,0)))),0)*Inputs!$E$28))))+(IF(AND(Inputs!$E$17&gt;0,28=Inputs!$E$17),Inputs!$E$18,0))))</f>
        <v/>
      </c>
      <c r="AI6" s="8">
        <f>AH6+(((((((((Inputs!$E$3*(1+Inputs!$E$4)^(29-1))*Inputs!$E$5)*Inputs!$E$6)+((Inputs!$E$7*(1+Inputs!$E$8)^(29-1))*Inputs!$E$9)+(Inputs!$E$11*(1+Inputs!$E$12)^(29-1))+(IF(29&lt;Inputs!$E$13,0,Inputs!$E$14*(1+Inputs!$E$15)^(29-Inputs!$E$13)*Inputs!$E$16))))-(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+(((Inputs!$E$7*(1+Inputs!$E$8)^(29-1))*Inputs!$E$10))+(((((((Inputs!$E$3*(1+Inputs!$E$4)^(29-1))*Inputs!$E$5)*Inputs!$E$6)+((Inputs!$E$7*(1+Inputs!$E$8)^(29-1))*Inputs!$E$9)+(Inputs!$E$11*(1+Inputs!$E$12)^(29-1))+(IF(29&lt;Inputs!$E$13,0,Inputs!$E$14*(1+Inputs!$E$15)^(29-Inputs!$E$13)*Inputs!$E$16))))*Inputs!$E$29))+((Inputs!$E$19+Inputs!$E$20+(Inputs!$E$21*$C6)+Inputs!$E$22+Inputs!$E$23))+(IF(AND(Inputs!$E$24&gt;0,29=Inputs!$E$24),Inputs!$E$25,0))+(MAX((((((((Inputs!$E$3*(1+Inputs!$E$4)^(29-1))*Inputs!$E$5)*Inputs!$E$6)+((Inputs!$E$7*(1+Inputs!$E$8)^(29-1))*Inputs!$E$9)+(Inputs!$E$11*(1+Inputs!$E$12)^(29-1))+(IF(29&lt;Inputs!$E$13,0,Inputs!$E$14*(1+Inputs!$E$15)^(29-Inputs!$E$13)*Inputs!$E$16))))-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-(((Inputs!$E$7*(1+Inputs!$E$8)^(29-1))*Inputs!$E$10))-(((((((Inputs!$E$3*(1+Inputs!$E$4)^(29-1))*Inputs!$E$5)*Inputs!$E$6)+((Inputs!$E$7*(1+Inputs!$E$8)^(29-1))*Inputs!$E$9)+(Inputs!$E$11*(1+Inputs!$E$12)^(29-1))+(IF(29&lt;Inputs!$E$13,0,Inputs!$E$14*(1+Inputs!$E$15)^(29-Inputs!$E$13)*Inputs!$E$16))))*Inputs!$E$29))-((Inputs!$E$19+Inputs!$E$20+(Inputs!$E$21*$C6)+Inputs!$E$22+Inputs!$E$23))-(IF(AND(Inputs!$E$24&gt;0,29=Inputs!$E$24),Inputs!$E$25,0)))),0)*Inputs!$E$28))))+(IF(AND(Inputs!$E$17&gt;0,29=Inputs!$E$17),Inputs!$E$18,0))))</f>
        <v/>
      </c>
      <c r="AJ6" s="8">
        <f>AI6+(((((((((Inputs!$E$3*(1+Inputs!$E$4)^(30-1))*Inputs!$E$5)*Inputs!$E$6)+((Inputs!$E$7*(1+Inputs!$E$8)^(30-1))*Inputs!$E$9)+(Inputs!$E$11*(1+Inputs!$E$12)^(30-1))+(IF(30&lt;Inputs!$E$13,0,Inputs!$E$14*(1+Inputs!$E$15)^(30-Inputs!$E$13)*Inputs!$E$16))))-(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+(((Inputs!$E$7*(1+Inputs!$E$8)^(30-1))*Inputs!$E$10))+(((((((Inputs!$E$3*(1+Inputs!$E$4)^(30-1))*Inputs!$E$5)*Inputs!$E$6)+((Inputs!$E$7*(1+Inputs!$E$8)^(30-1))*Inputs!$E$9)+(Inputs!$E$11*(1+Inputs!$E$12)^(30-1))+(IF(30&lt;Inputs!$E$13,0,Inputs!$E$14*(1+Inputs!$E$15)^(30-Inputs!$E$13)*Inputs!$E$16))))*Inputs!$E$29))+((Inputs!$E$19+Inputs!$E$20+(Inputs!$E$21*$C6)+Inputs!$E$22+Inputs!$E$23))+(IF(AND(Inputs!$E$24&gt;0,30=Inputs!$E$24),Inputs!$E$25,0))+(MAX((((((((Inputs!$E$3*(1+Inputs!$E$4)^(30-1))*Inputs!$E$5)*Inputs!$E$6)+((Inputs!$E$7*(1+Inputs!$E$8)^(30-1))*Inputs!$E$9)+(Inputs!$E$11*(1+Inputs!$E$12)^(30-1))+(IF(30&lt;Inputs!$E$13,0,Inputs!$E$14*(1+Inputs!$E$15)^(30-Inputs!$E$13)*Inputs!$E$16))))-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-(((Inputs!$E$7*(1+Inputs!$E$8)^(30-1))*Inputs!$E$10))-(((((((Inputs!$E$3*(1+Inputs!$E$4)^(30-1))*Inputs!$E$5)*Inputs!$E$6)+((Inputs!$E$7*(1+Inputs!$E$8)^(30-1))*Inputs!$E$9)+(Inputs!$E$11*(1+Inputs!$E$12)^(30-1))+(IF(30&lt;Inputs!$E$13,0,Inputs!$E$14*(1+Inputs!$E$15)^(30-Inputs!$E$13)*Inputs!$E$16))))*Inputs!$E$29))-((Inputs!$E$19+Inputs!$E$20+(Inputs!$E$21*$C6)+Inputs!$E$22+Inputs!$E$23))-(IF(AND(Inputs!$E$24&gt;0,30=Inputs!$E$24),Inputs!$E$25,0)))),0)*Inputs!$E$28))))+(IF(AND(Inputs!$E$17&gt;0,30=Inputs!$E$17),Inputs!$E$18,0))))</f>
        <v/>
      </c>
      <c r="AK6" s="8">
        <f>AJ6+(((((((((Inputs!$E$3*(1+Inputs!$E$4)^(31-1))*Inputs!$E$5)*Inputs!$E$6)+((Inputs!$E$7*(1+Inputs!$E$8)^(31-1))*Inputs!$E$9)+(Inputs!$E$11*(1+Inputs!$E$12)^(31-1))+(IF(31&lt;Inputs!$E$13,0,Inputs!$E$14*(1+Inputs!$E$15)^(31-Inputs!$E$13)*Inputs!$E$16))))-(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+(((Inputs!$E$7*(1+Inputs!$E$8)^(31-1))*Inputs!$E$10))+(((((((Inputs!$E$3*(1+Inputs!$E$4)^(31-1))*Inputs!$E$5)*Inputs!$E$6)+((Inputs!$E$7*(1+Inputs!$E$8)^(31-1))*Inputs!$E$9)+(Inputs!$E$11*(1+Inputs!$E$12)^(31-1))+(IF(31&lt;Inputs!$E$13,0,Inputs!$E$14*(1+Inputs!$E$15)^(31-Inputs!$E$13)*Inputs!$E$16))))*Inputs!$E$29))+((Inputs!$E$19+Inputs!$E$20+(Inputs!$E$21*$C6)+Inputs!$E$22+Inputs!$E$23))+(IF(AND(Inputs!$E$24&gt;0,31=Inputs!$E$24),Inputs!$E$25,0))+(MAX((((((((Inputs!$E$3*(1+Inputs!$E$4)^(31-1))*Inputs!$E$5)*Inputs!$E$6)+((Inputs!$E$7*(1+Inputs!$E$8)^(31-1))*Inputs!$E$9)+(Inputs!$E$11*(1+Inputs!$E$12)^(31-1))+(IF(31&lt;Inputs!$E$13,0,Inputs!$E$14*(1+Inputs!$E$15)^(31-Inputs!$E$13)*Inputs!$E$16))))-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-(((Inputs!$E$7*(1+Inputs!$E$8)^(31-1))*Inputs!$E$10))-(((((((Inputs!$E$3*(1+Inputs!$E$4)^(31-1))*Inputs!$E$5)*Inputs!$E$6)+((Inputs!$E$7*(1+Inputs!$E$8)^(31-1))*Inputs!$E$9)+(Inputs!$E$11*(1+Inputs!$E$12)^(31-1))+(IF(31&lt;Inputs!$E$13,0,Inputs!$E$14*(1+Inputs!$E$15)^(31-Inputs!$E$13)*Inputs!$E$16))))*Inputs!$E$29))-((Inputs!$E$19+Inputs!$E$20+(Inputs!$E$21*$C6)+Inputs!$E$22+Inputs!$E$23))-(IF(AND(Inputs!$E$24&gt;0,31=Inputs!$E$24),Inputs!$E$25,0)))),0)*Inputs!$E$28))))+(IF(AND(Inputs!$E$17&gt;0,31=Inputs!$E$17),Inputs!$E$18,0))))</f>
        <v/>
      </c>
      <c r="AL6" s="8">
        <f>AK6+(((((((((Inputs!$E$3*(1+Inputs!$E$4)^(32-1))*Inputs!$E$5)*Inputs!$E$6)+((Inputs!$E$7*(1+Inputs!$E$8)^(32-1))*Inputs!$E$9)+(Inputs!$E$11*(1+Inputs!$E$12)^(32-1))+(IF(32&lt;Inputs!$E$13,0,Inputs!$E$14*(1+Inputs!$E$15)^(32-Inputs!$E$13)*Inputs!$E$16))))-(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+(((Inputs!$E$7*(1+Inputs!$E$8)^(32-1))*Inputs!$E$10))+(((((((Inputs!$E$3*(1+Inputs!$E$4)^(32-1))*Inputs!$E$5)*Inputs!$E$6)+((Inputs!$E$7*(1+Inputs!$E$8)^(32-1))*Inputs!$E$9)+(Inputs!$E$11*(1+Inputs!$E$12)^(32-1))+(IF(32&lt;Inputs!$E$13,0,Inputs!$E$14*(1+Inputs!$E$15)^(32-Inputs!$E$13)*Inputs!$E$16))))*Inputs!$E$29))+((Inputs!$E$19+Inputs!$E$20+(Inputs!$E$21*$C6)+Inputs!$E$22+Inputs!$E$23))+(IF(AND(Inputs!$E$24&gt;0,32=Inputs!$E$24),Inputs!$E$25,0))+(MAX((((((((Inputs!$E$3*(1+Inputs!$E$4)^(32-1))*Inputs!$E$5)*Inputs!$E$6)+((Inputs!$E$7*(1+Inputs!$E$8)^(32-1))*Inputs!$E$9)+(Inputs!$E$11*(1+Inputs!$E$12)^(32-1))+(IF(32&lt;Inputs!$E$13,0,Inputs!$E$14*(1+Inputs!$E$15)^(32-Inputs!$E$13)*Inputs!$E$16))))-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-(((Inputs!$E$7*(1+Inputs!$E$8)^(32-1))*Inputs!$E$10))-(((((((Inputs!$E$3*(1+Inputs!$E$4)^(32-1))*Inputs!$E$5)*Inputs!$E$6)+((Inputs!$E$7*(1+Inputs!$E$8)^(32-1))*Inputs!$E$9)+(Inputs!$E$11*(1+Inputs!$E$12)^(32-1))+(IF(32&lt;Inputs!$E$13,0,Inputs!$E$14*(1+Inputs!$E$15)^(32-Inputs!$E$13)*Inputs!$E$16))))*Inputs!$E$29))-((Inputs!$E$19+Inputs!$E$20+(Inputs!$E$21*$C6)+Inputs!$E$22+Inputs!$E$23))-(IF(AND(Inputs!$E$24&gt;0,32=Inputs!$E$24),Inputs!$E$25,0)))),0)*Inputs!$E$28))))+(IF(AND(Inputs!$E$17&gt;0,32=Inputs!$E$17),Inputs!$E$18,0))))</f>
        <v/>
      </c>
      <c r="AM6" s="8">
        <f>AL6+(((((((((Inputs!$E$3*(1+Inputs!$E$4)^(33-1))*Inputs!$E$5)*Inputs!$E$6)+((Inputs!$E$7*(1+Inputs!$E$8)^(33-1))*Inputs!$E$9)+(Inputs!$E$11*(1+Inputs!$E$12)^(33-1))+(IF(33&lt;Inputs!$E$13,0,Inputs!$E$14*(1+Inputs!$E$15)^(33-Inputs!$E$13)*Inputs!$E$16))))-(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+(((Inputs!$E$7*(1+Inputs!$E$8)^(33-1))*Inputs!$E$10))+(((((((Inputs!$E$3*(1+Inputs!$E$4)^(33-1))*Inputs!$E$5)*Inputs!$E$6)+((Inputs!$E$7*(1+Inputs!$E$8)^(33-1))*Inputs!$E$9)+(Inputs!$E$11*(1+Inputs!$E$12)^(33-1))+(IF(33&lt;Inputs!$E$13,0,Inputs!$E$14*(1+Inputs!$E$15)^(33-Inputs!$E$13)*Inputs!$E$16))))*Inputs!$E$29))+((Inputs!$E$19+Inputs!$E$20+(Inputs!$E$21*$C6)+Inputs!$E$22+Inputs!$E$23))+(IF(AND(Inputs!$E$24&gt;0,33=Inputs!$E$24),Inputs!$E$25,0))+(MAX((((((((Inputs!$E$3*(1+Inputs!$E$4)^(33-1))*Inputs!$E$5)*Inputs!$E$6)+((Inputs!$E$7*(1+Inputs!$E$8)^(33-1))*Inputs!$E$9)+(Inputs!$E$11*(1+Inputs!$E$12)^(33-1))+(IF(33&lt;Inputs!$E$13,0,Inputs!$E$14*(1+Inputs!$E$15)^(33-Inputs!$E$13)*Inputs!$E$16))))-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-(((Inputs!$E$7*(1+Inputs!$E$8)^(33-1))*Inputs!$E$10))-(((((((Inputs!$E$3*(1+Inputs!$E$4)^(33-1))*Inputs!$E$5)*Inputs!$E$6)+((Inputs!$E$7*(1+Inputs!$E$8)^(33-1))*Inputs!$E$9)+(Inputs!$E$11*(1+Inputs!$E$12)^(33-1))+(IF(33&lt;Inputs!$E$13,0,Inputs!$E$14*(1+Inputs!$E$15)^(33-Inputs!$E$13)*Inputs!$E$16))))*Inputs!$E$29))-((Inputs!$E$19+Inputs!$E$20+(Inputs!$E$21*$C6)+Inputs!$E$22+Inputs!$E$23))-(IF(AND(Inputs!$E$24&gt;0,33=Inputs!$E$24),Inputs!$E$25,0)))),0)*Inputs!$E$28))))+(IF(AND(Inputs!$E$17&gt;0,33=Inputs!$E$17),Inputs!$E$18,0))))</f>
        <v/>
      </c>
      <c r="AN6" s="8">
        <f>AM6+(((((((((Inputs!$E$3*(1+Inputs!$E$4)^(34-1))*Inputs!$E$5)*Inputs!$E$6)+((Inputs!$E$7*(1+Inputs!$E$8)^(34-1))*Inputs!$E$9)+(Inputs!$E$11*(1+Inputs!$E$12)^(34-1))+(IF(34&lt;Inputs!$E$13,0,Inputs!$E$14*(1+Inputs!$E$15)^(34-Inputs!$E$13)*Inputs!$E$16))))-(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+(((Inputs!$E$7*(1+Inputs!$E$8)^(34-1))*Inputs!$E$10))+(((((((Inputs!$E$3*(1+Inputs!$E$4)^(34-1))*Inputs!$E$5)*Inputs!$E$6)+((Inputs!$E$7*(1+Inputs!$E$8)^(34-1))*Inputs!$E$9)+(Inputs!$E$11*(1+Inputs!$E$12)^(34-1))+(IF(34&lt;Inputs!$E$13,0,Inputs!$E$14*(1+Inputs!$E$15)^(34-Inputs!$E$13)*Inputs!$E$16))))*Inputs!$E$29))+((Inputs!$E$19+Inputs!$E$20+(Inputs!$E$21*$C6)+Inputs!$E$22+Inputs!$E$23))+(IF(AND(Inputs!$E$24&gt;0,34=Inputs!$E$24),Inputs!$E$25,0))+(MAX((((((((Inputs!$E$3*(1+Inputs!$E$4)^(34-1))*Inputs!$E$5)*Inputs!$E$6)+((Inputs!$E$7*(1+Inputs!$E$8)^(34-1))*Inputs!$E$9)+(Inputs!$E$11*(1+Inputs!$E$12)^(34-1))+(IF(34&lt;Inputs!$E$13,0,Inputs!$E$14*(1+Inputs!$E$15)^(34-Inputs!$E$13)*Inputs!$E$16))))-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-(((Inputs!$E$7*(1+Inputs!$E$8)^(34-1))*Inputs!$E$10))-(((((((Inputs!$E$3*(1+Inputs!$E$4)^(34-1))*Inputs!$E$5)*Inputs!$E$6)+((Inputs!$E$7*(1+Inputs!$E$8)^(34-1))*Inputs!$E$9)+(Inputs!$E$11*(1+Inputs!$E$12)^(34-1))+(IF(34&lt;Inputs!$E$13,0,Inputs!$E$14*(1+Inputs!$E$15)^(34-Inputs!$E$13)*Inputs!$E$16))))*Inputs!$E$29))-((Inputs!$E$19+Inputs!$E$20+(Inputs!$E$21*$C6)+Inputs!$E$22+Inputs!$E$23))-(IF(AND(Inputs!$E$24&gt;0,34=Inputs!$E$24),Inputs!$E$25,0)))),0)*Inputs!$E$28))))+(IF(AND(Inputs!$E$17&gt;0,34=Inputs!$E$17),Inputs!$E$18,0))))</f>
        <v/>
      </c>
      <c r="AO6" s="8">
        <f>AN6+(((((((((Inputs!$E$3*(1+Inputs!$E$4)^(35-1))*Inputs!$E$5)*Inputs!$E$6)+((Inputs!$E$7*(1+Inputs!$E$8)^(35-1))*Inputs!$E$9)+(Inputs!$E$11*(1+Inputs!$E$12)^(35-1))+(IF(35&lt;Inputs!$E$13,0,Inputs!$E$14*(1+Inputs!$E$15)^(35-Inputs!$E$13)*Inputs!$E$16))))-(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+(((Inputs!$E$7*(1+Inputs!$E$8)^(35-1))*Inputs!$E$10))+(((((((Inputs!$E$3*(1+Inputs!$E$4)^(35-1))*Inputs!$E$5)*Inputs!$E$6)+((Inputs!$E$7*(1+Inputs!$E$8)^(35-1))*Inputs!$E$9)+(Inputs!$E$11*(1+Inputs!$E$12)^(35-1))+(IF(35&lt;Inputs!$E$13,0,Inputs!$E$14*(1+Inputs!$E$15)^(35-Inputs!$E$13)*Inputs!$E$16))))*Inputs!$E$29))+((Inputs!$E$19+Inputs!$E$20+(Inputs!$E$21*$C6)+Inputs!$E$22+Inputs!$E$23))+(IF(AND(Inputs!$E$24&gt;0,35=Inputs!$E$24),Inputs!$E$25,0))+(MAX((((((((Inputs!$E$3*(1+Inputs!$E$4)^(35-1))*Inputs!$E$5)*Inputs!$E$6)+((Inputs!$E$7*(1+Inputs!$E$8)^(35-1))*Inputs!$E$9)+(Inputs!$E$11*(1+Inputs!$E$12)^(35-1))+(IF(35&lt;Inputs!$E$13,0,Inputs!$E$14*(1+Inputs!$E$15)^(35-Inputs!$E$13)*Inputs!$E$16))))-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-(((Inputs!$E$7*(1+Inputs!$E$8)^(35-1))*Inputs!$E$10))-(((((((Inputs!$E$3*(1+Inputs!$E$4)^(35-1))*Inputs!$E$5)*Inputs!$E$6)+((Inputs!$E$7*(1+Inputs!$E$8)^(35-1))*Inputs!$E$9)+(Inputs!$E$11*(1+Inputs!$E$12)^(35-1))+(IF(35&lt;Inputs!$E$13,0,Inputs!$E$14*(1+Inputs!$E$15)^(35-Inputs!$E$13)*Inputs!$E$16))))*Inputs!$E$29))-((Inputs!$E$19+Inputs!$E$20+(Inputs!$E$21*$C6)+Inputs!$E$22+Inputs!$E$23))-(IF(AND(Inputs!$E$24&gt;0,35=Inputs!$E$24),Inputs!$E$25,0)))),0)*Inputs!$E$28))))+(IF(AND(Inputs!$E$17&gt;0,35=Inputs!$E$17),Inputs!$E$18,0))))</f>
        <v/>
      </c>
      <c r="AP6" s="8">
        <f>AO6+(((((((((Inputs!$E$3*(1+Inputs!$E$4)^(36-1))*Inputs!$E$5)*Inputs!$E$6)+((Inputs!$E$7*(1+Inputs!$E$8)^(36-1))*Inputs!$E$9)+(Inputs!$E$11*(1+Inputs!$E$12)^(36-1))+(IF(36&lt;Inputs!$E$13,0,Inputs!$E$14*(1+Inputs!$E$15)^(36-Inputs!$E$13)*Inputs!$E$16))))-(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+(((Inputs!$E$7*(1+Inputs!$E$8)^(36-1))*Inputs!$E$10))+(((((((Inputs!$E$3*(1+Inputs!$E$4)^(36-1))*Inputs!$E$5)*Inputs!$E$6)+((Inputs!$E$7*(1+Inputs!$E$8)^(36-1))*Inputs!$E$9)+(Inputs!$E$11*(1+Inputs!$E$12)^(36-1))+(IF(36&lt;Inputs!$E$13,0,Inputs!$E$14*(1+Inputs!$E$15)^(36-Inputs!$E$13)*Inputs!$E$16))))*Inputs!$E$29))+((Inputs!$E$19+Inputs!$E$20+(Inputs!$E$21*$C6)+Inputs!$E$22+Inputs!$E$23))+(IF(AND(Inputs!$E$24&gt;0,36=Inputs!$E$24),Inputs!$E$25,0))+(MAX((((((((Inputs!$E$3*(1+Inputs!$E$4)^(36-1))*Inputs!$E$5)*Inputs!$E$6)+((Inputs!$E$7*(1+Inputs!$E$8)^(36-1))*Inputs!$E$9)+(Inputs!$E$11*(1+Inputs!$E$12)^(36-1))+(IF(36&lt;Inputs!$E$13,0,Inputs!$E$14*(1+Inputs!$E$15)^(36-Inputs!$E$13)*Inputs!$E$16))))-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-(((Inputs!$E$7*(1+Inputs!$E$8)^(36-1))*Inputs!$E$10))-(((((((Inputs!$E$3*(1+Inputs!$E$4)^(36-1))*Inputs!$E$5)*Inputs!$E$6)+((Inputs!$E$7*(1+Inputs!$E$8)^(36-1))*Inputs!$E$9)+(Inputs!$E$11*(1+Inputs!$E$12)^(36-1))+(IF(36&lt;Inputs!$E$13,0,Inputs!$E$14*(1+Inputs!$E$15)^(36-Inputs!$E$13)*Inputs!$E$16))))*Inputs!$E$29))-((Inputs!$E$19+Inputs!$E$20+(Inputs!$E$21*$C6)+Inputs!$E$22+Inputs!$E$23))-(IF(AND(Inputs!$E$24&gt;0,36=Inputs!$E$24),Inputs!$E$25,0)))),0)*Inputs!$E$28))))+(IF(AND(Inputs!$E$17&gt;0,36=Inputs!$E$17),Inputs!$E$18,0))))</f>
        <v/>
      </c>
    </row>
    <row r="7">
      <c r="A7" s="2" t="inlineStr">
        <is>
          <t>marketing_spend</t>
        </is>
      </c>
      <c r="B7" s="2" t="inlineStr">
        <is>
          <t>Marketing spend -25%</t>
        </is>
      </c>
      <c r="C7" s="2" t="n">
        <v>0.75</v>
      </c>
      <c r="D7" s="8">
        <f>AP7</f>
        <v/>
      </c>
      <c r="E7" s="8">
        <f>IFERROR(INDEX($G$1:$AP$1,MATCH(TRUE,$G7:$AP7&lt;0,0)),"No cash-out")</f>
        <v/>
      </c>
      <c r="F7" s="2" t="inlineStr">
        <is>
          <t>See ending cash / cash-out; monthly op net in Monthly Model</t>
        </is>
      </c>
      <c r="G7" s="8">
        <f>Inputs!$E$2+(((((((((Inputs!$E$3*(1+Inputs!$E$4)^(1-1))*Inputs!$E$5)*Inputs!$E$6)+((Inputs!$E$7*(1+Inputs!$E$8)^(1-1))*Inputs!$E$9)+(Inputs!$E$11*(1+Inputs!$E$12)^(1-1))+(IF(1&lt;Inputs!$E$13,0,Inputs!$E$14*(1+Inputs!$E$15)^(1-Inputs!$E$13)*Inputs!$E$16))))-(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+(((Inputs!$E$7*(1+Inputs!$E$8)^(1-1))*Inputs!$E$10))+(((((((Inputs!$E$3*(1+Inputs!$E$4)^(1-1))*Inputs!$E$5)*Inputs!$E$6)+((Inputs!$E$7*(1+Inputs!$E$8)^(1-1))*Inputs!$E$9)+(Inputs!$E$11*(1+Inputs!$E$12)^(1-1))+(IF(1&lt;Inputs!$E$13,0,Inputs!$E$14*(1+Inputs!$E$15)^(1-Inputs!$E$13)*Inputs!$E$16))))*Inputs!$E$29))+((Inputs!$E$19+Inputs!$E$20+(Inputs!$E$21*$C7)+Inputs!$E$22+Inputs!$E$23))+(IF(AND(Inputs!$E$24&gt;0,1=Inputs!$E$24),Inputs!$E$25,0))+(MAX((((((((Inputs!$E$3*(1+Inputs!$E$4)^(1-1))*Inputs!$E$5)*Inputs!$E$6)+((Inputs!$E$7*(1+Inputs!$E$8)^(1-1))*Inputs!$E$9)+(Inputs!$E$11*(1+Inputs!$E$12)^(1-1))+(IF(1&lt;Inputs!$E$13,0,Inputs!$E$14*(1+Inputs!$E$15)^(1-Inputs!$E$13)*Inputs!$E$16))))-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-(((Inputs!$E$7*(1+Inputs!$E$8)^(1-1))*Inputs!$E$10))-(((((((Inputs!$E$3*(1+Inputs!$E$4)^(1-1))*Inputs!$E$5)*Inputs!$E$6)+((Inputs!$E$7*(1+Inputs!$E$8)^(1-1))*Inputs!$E$9)+(Inputs!$E$11*(1+Inputs!$E$12)^(1-1))+(IF(1&lt;Inputs!$E$13,0,Inputs!$E$14*(1+Inputs!$E$15)^(1-Inputs!$E$13)*Inputs!$E$16))))*Inputs!$E$29))-((Inputs!$E$19+Inputs!$E$20+(Inputs!$E$21*$C7)+Inputs!$E$22+Inputs!$E$23))-(IF(AND(Inputs!$E$24&gt;0,1=Inputs!$E$24),Inputs!$E$25,0)))),0)*Inputs!$E$28))))+(IF(AND(Inputs!$E$17&gt;0,1=Inputs!$E$17),Inputs!$E$18,0))))</f>
        <v/>
      </c>
      <c r="H7" s="8">
        <f>G7+(((((((((Inputs!$E$3*(1+Inputs!$E$4)^(2-1))*Inputs!$E$5)*Inputs!$E$6)+((Inputs!$E$7*(1+Inputs!$E$8)^(2-1))*Inputs!$E$9)+(Inputs!$E$11*(1+Inputs!$E$12)^(2-1))+(IF(2&lt;Inputs!$E$13,0,Inputs!$E$14*(1+Inputs!$E$15)^(2-Inputs!$E$13)*Inputs!$E$16))))-(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+(((Inputs!$E$7*(1+Inputs!$E$8)^(2-1))*Inputs!$E$10))+(((((((Inputs!$E$3*(1+Inputs!$E$4)^(2-1))*Inputs!$E$5)*Inputs!$E$6)+((Inputs!$E$7*(1+Inputs!$E$8)^(2-1))*Inputs!$E$9)+(Inputs!$E$11*(1+Inputs!$E$12)^(2-1))+(IF(2&lt;Inputs!$E$13,0,Inputs!$E$14*(1+Inputs!$E$15)^(2-Inputs!$E$13)*Inputs!$E$16))))*Inputs!$E$29))+((Inputs!$E$19+Inputs!$E$20+(Inputs!$E$21*$C7)+Inputs!$E$22+Inputs!$E$23))+(IF(AND(Inputs!$E$24&gt;0,2=Inputs!$E$24),Inputs!$E$25,0))+(MAX((((((((Inputs!$E$3*(1+Inputs!$E$4)^(2-1))*Inputs!$E$5)*Inputs!$E$6)+((Inputs!$E$7*(1+Inputs!$E$8)^(2-1))*Inputs!$E$9)+(Inputs!$E$11*(1+Inputs!$E$12)^(2-1))+(IF(2&lt;Inputs!$E$13,0,Inputs!$E$14*(1+Inputs!$E$15)^(2-Inputs!$E$13)*Inputs!$E$16))))-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-(((Inputs!$E$7*(1+Inputs!$E$8)^(2-1))*Inputs!$E$10))-(((((((Inputs!$E$3*(1+Inputs!$E$4)^(2-1))*Inputs!$E$5)*Inputs!$E$6)+((Inputs!$E$7*(1+Inputs!$E$8)^(2-1))*Inputs!$E$9)+(Inputs!$E$11*(1+Inputs!$E$12)^(2-1))+(IF(2&lt;Inputs!$E$13,0,Inputs!$E$14*(1+Inputs!$E$15)^(2-Inputs!$E$13)*Inputs!$E$16))))*Inputs!$E$29))-((Inputs!$E$19+Inputs!$E$20+(Inputs!$E$21*$C7)+Inputs!$E$22+Inputs!$E$23))-(IF(AND(Inputs!$E$24&gt;0,2=Inputs!$E$24),Inputs!$E$25,0)))),0)*Inputs!$E$28))))+(IF(AND(Inputs!$E$17&gt;0,2=Inputs!$E$17),Inputs!$E$18,0))))</f>
        <v/>
      </c>
      <c r="I7" s="8">
        <f>H7+(((((((((Inputs!$E$3*(1+Inputs!$E$4)^(3-1))*Inputs!$E$5)*Inputs!$E$6)+((Inputs!$E$7*(1+Inputs!$E$8)^(3-1))*Inputs!$E$9)+(Inputs!$E$11*(1+Inputs!$E$12)^(3-1))+(IF(3&lt;Inputs!$E$13,0,Inputs!$E$14*(1+Inputs!$E$15)^(3-Inputs!$E$13)*Inputs!$E$16))))-(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+(((Inputs!$E$7*(1+Inputs!$E$8)^(3-1))*Inputs!$E$10))+(((((((Inputs!$E$3*(1+Inputs!$E$4)^(3-1))*Inputs!$E$5)*Inputs!$E$6)+((Inputs!$E$7*(1+Inputs!$E$8)^(3-1))*Inputs!$E$9)+(Inputs!$E$11*(1+Inputs!$E$12)^(3-1))+(IF(3&lt;Inputs!$E$13,0,Inputs!$E$14*(1+Inputs!$E$15)^(3-Inputs!$E$13)*Inputs!$E$16))))*Inputs!$E$29))+((Inputs!$E$19+Inputs!$E$20+(Inputs!$E$21*$C7)+Inputs!$E$22+Inputs!$E$23))+(IF(AND(Inputs!$E$24&gt;0,3=Inputs!$E$24),Inputs!$E$25,0))+(MAX((((((((Inputs!$E$3*(1+Inputs!$E$4)^(3-1))*Inputs!$E$5)*Inputs!$E$6)+((Inputs!$E$7*(1+Inputs!$E$8)^(3-1))*Inputs!$E$9)+(Inputs!$E$11*(1+Inputs!$E$12)^(3-1))+(IF(3&lt;Inputs!$E$13,0,Inputs!$E$14*(1+Inputs!$E$15)^(3-Inputs!$E$13)*Inputs!$E$16))))-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-(((Inputs!$E$7*(1+Inputs!$E$8)^(3-1))*Inputs!$E$10))-(((((((Inputs!$E$3*(1+Inputs!$E$4)^(3-1))*Inputs!$E$5)*Inputs!$E$6)+((Inputs!$E$7*(1+Inputs!$E$8)^(3-1))*Inputs!$E$9)+(Inputs!$E$11*(1+Inputs!$E$12)^(3-1))+(IF(3&lt;Inputs!$E$13,0,Inputs!$E$14*(1+Inputs!$E$15)^(3-Inputs!$E$13)*Inputs!$E$16))))*Inputs!$E$29))-((Inputs!$E$19+Inputs!$E$20+(Inputs!$E$21*$C7)+Inputs!$E$22+Inputs!$E$23))-(IF(AND(Inputs!$E$24&gt;0,3=Inputs!$E$24),Inputs!$E$25,0)))),0)*Inputs!$E$28))))+(IF(AND(Inputs!$E$17&gt;0,3=Inputs!$E$17),Inputs!$E$18,0))))</f>
        <v/>
      </c>
      <c r="J7" s="8">
        <f>I7+(((((((((Inputs!$E$3*(1+Inputs!$E$4)^(4-1))*Inputs!$E$5)*Inputs!$E$6)+((Inputs!$E$7*(1+Inputs!$E$8)^(4-1))*Inputs!$E$9)+(Inputs!$E$11*(1+Inputs!$E$12)^(4-1))+(IF(4&lt;Inputs!$E$13,0,Inputs!$E$14*(1+Inputs!$E$15)^(4-Inputs!$E$13)*Inputs!$E$16))))-(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+(((Inputs!$E$7*(1+Inputs!$E$8)^(4-1))*Inputs!$E$10))+(((((((Inputs!$E$3*(1+Inputs!$E$4)^(4-1))*Inputs!$E$5)*Inputs!$E$6)+((Inputs!$E$7*(1+Inputs!$E$8)^(4-1))*Inputs!$E$9)+(Inputs!$E$11*(1+Inputs!$E$12)^(4-1))+(IF(4&lt;Inputs!$E$13,0,Inputs!$E$14*(1+Inputs!$E$15)^(4-Inputs!$E$13)*Inputs!$E$16))))*Inputs!$E$29))+((Inputs!$E$19+Inputs!$E$20+(Inputs!$E$21*$C7)+Inputs!$E$22+Inputs!$E$23))+(IF(AND(Inputs!$E$24&gt;0,4=Inputs!$E$24),Inputs!$E$25,0))+(MAX((((((((Inputs!$E$3*(1+Inputs!$E$4)^(4-1))*Inputs!$E$5)*Inputs!$E$6)+((Inputs!$E$7*(1+Inputs!$E$8)^(4-1))*Inputs!$E$9)+(Inputs!$E$11*(1+Inputs!$E$12)^(4-1))+(IF(4&lt;Inputs!$E$13,0,Inputs!$E$14*(1+Inputs!$E$15)^(4-Inputs!$E$13)*Inputs!$E$16))))-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-(((Inputs!$E$7*(1+Inputs!$E$8)^(4-1))*Inputs!$E$10))-(((((((Inputs!$E$3*(1+Inputs!$E$4)^(4-1))*Inputs!$E$5)*Inputs!$E$6)+((Inputs!$E$7*(1+Inputs!$E$8)^(4-1))*Inputs!$E$9)+(Inputs!$E$11*(1+Inputs!$E$12)^(4-1))+(IF(4&lt;Inputs!$E$13,0,Inputs!$E$14*(1+Inputs!$E$15)^(4-Inputs!$E$13)*Inputs!$E$16))))*Inputs!$E$29))-((Inputs!$E$19+Inputs!$E$20+(Inputs!$E$21*$C7)+Inputs!$E$22+Inputs!$E$23))-(IF(AND(Inputs!$E$24&gt;0,4=Inputs!$E$24),Inputs!$E$25,0)))),0)*Inputs!$E$28))))+(IF(AND(Inputs!$E$17&gt;0,4=Inputs!$E$17),Inputs!$E$18,0))))</f>
        <v/>
      </c>
      <c r="K7" s="8">
        <f>J7+(((((((((Inputs!$E$3*(1+Inputs!$E$4)^(5-1))*Inputs!$E$5)*Inputs!$E$6)+((Inputs!$E$7*(1+Inputs!$E$8)^(5-1))*Inputs!$E$9)+(Inputs!$E$11*(1+Inputs!$E$12)^(5-1))+(IF(5&lt;Inputs!$E$13,0,Inputs!$E$14*(1+Inputs!$E$15)^(5-Inputs!$E$13)*Inputs!$E$16))))-(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+(((Inputs!$E$7*(1+Inputs!$E$8)^(5-1))*Inputs!$E$10))+(((((((Inputs!$E$3*(1+Inputs!$E$4)^(5-1))*Inputs!$E$5)*Inputs!$E$6)+((Inputs!$E$7*(1+Inputs!$E$8)^(5-1))*Inputs!$E$9)+(Inputs!$E$11*(1+Inputs!$E$12)^(5-1))+(IF(5&lt;Inputs!$E$13,0,Inputs!$E$14*(1+Inputs!$E$15)^(5-Inputs!$E$13)*Inputs!$E$16))))*Inputs!$E$29))+((Inputs!$E$19+Inputs!$E$20+(Inputs!$E$21*$C7)+Inputs!$E$22+Inputs!$E$23))+(IF(AND(Inputs!$E$24&gt;0,5=Inputs!$E$24),Inputs!$E$25,0))+(MAX((((((((Inputs!$E$3*(1+Inputs!$E$4)^(5-1))*Inputs!$E$5)*Inputs!$E$6)+((Inputs!$E$7*(1+Inputs!$E$8)^(5-1))*Inputs!$E$9)+(Inputs!$E$11*(1+Inputs!$E$12)^(5-1))+(IF(5&lt;Inputs!$E$13,0,Inputs!$E$14*(1+Inputs!$E$15)^(5-Inputs!$E$13)*Inputs!$E$16))))-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-(((Inputs!$E$7*(1+Inputs!$E$8)^(5-1))*Inputs!$E$10))-(((((((Inputs!$E$3*(1+Inputs!$E$4)^(5-1))*Inputs!$E$5)*Inputs!$E$6)+((Inputs!$E$7*(1+Inputs!$E$8)^(5-1))*Inputs!$E$9)+(Inputs!$E$11*(1+Inputs!$E$12)^(5-1))+(IF(5&lt;Inputs!$E$13,0,Inputs!$E$14*(1+Inputs!$E$15)^(5-Inputs!$E$13)*Inputs!$E$16))))*Inputs!$E$29))-((Inputs!$E$19+Inputs!$E$20+(Inputs!$E$21*$C7)+Inputs!$E$22+Inputs!$E$23))-(IF(AND(Inputs!$E$24&gt;0,5=Inputs!$E$24),Inputs!$E$25,0)))),0)*Inputs!$E$28))))+(IF(AND(Inputs!$E$17&gt;0,5=Inputs!$E$17),Inputs!$E$18,0))))</f>
        <v/>
      </c>
      <c r="L7" s="8">
        <f>K7+(((((((((Inputs!$E$3*(1+Inputs!$E$4)^(6-1))*Inputs!$E$5)*Inputs!$E$6)+((Inputs!$E$7*(1+Inputs!$E$8)^(6-1))*Inputs!$E$9)+(Inputs!$E$11*(1+Inputs!$E$12)^(6-1))+(IF(6&lt;Inputs!$E$13,0,Inputs!$E$14*(1+Inputs!$E$15)^(6-Inputs!$E$13)*Inputs!$E$16))))-(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+(((Inputs!$E$7*(1+Inputs!$E$8)^(6-1))*Inputs!$E$10))+(((((((Inputs!$E$3*(1+Inputs!$E$4)^(6-1))*Inputs!$E$5)*Inputs!$E$6)+((Inputs!$E$7*(1+Inputs!$E$8)^(6-1))*Inputs!$E$9)+(Inputs!$E$11*(1+Inputs!$E$12)^(6-1))+(IF(6&lt;Inputs!$E$13,0,Inputs!$E$14*(1+Inputs!$E$15)^(6-Inputs!$E$13)*Inputs!$E$16))))*Inputs!$E$29))+((Inputs!$E$19+Inputs!$E$20+(Inputs!$E$21*$C7)+Inputs!$E$22+Inputs!$E$23))+(IF(AND(Inputs!$E$24&gt;0,6=Inputs!$E$24),Inputs!$E$25,0))+(MAX((((((((Inputs!$E$3*(1+Inputs!$E$4)^(6-1))*Inputs!$E$5)*Inputs!$E$6)+((Inputs!$E$7*(1+Inputs!$E$8)^(6-1))*Inputs!$E$9)+(Inputs!$E$11*(1+Inputs!$E$12)^(6-1))+(IF(6&lt;Inputs!$E$13,0,Inputs!$E$14*(1+Inputs!$E$15)^(6-Inputs!$E$13)*Inputs!$E$16))))-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-(((Inputs!$E$7*(1+Inputs!$E$8)^(6-1))*Inputs!$E$10))-(((((((Inputs!$E$3*(1+Inputs!$E$4)^(6-1))*Inputs!$E$5)*Inputs!$E$6)+((Inputs!$E$7*(1+Inputs!$E$8)^(6-1))*Inputs!$E$9)+(Inputs!$E$11*(1+Inputs!$E$12)^(6-1))+(IF(6&lt;Inputs!$E$13,0,Inputs!$E$14*(1+Inputs!$E$15)^(6-Inputs!$E$13)*Inputs!$E$16))))*Inputs!$E$29))-((Inputs!$E$19+Inputs!$E$20+(Inputs!$E$21*$C7)+Inputs!$E$22+Inputs!$E$23))-(IF(AND(Inputs!$E$24&gt;0,6=Inputs!$E$24),Inputs!$E$25,0)))),0)*Inputs!$E$28))))+(IF(AND(Inputs!$E$17&gt;0,6=Inputs!$E$17),Inputs!$E$18,0))))</f>
        <v/>
      </c>
      <c r="M7" s="8">
        <f>L7+(((((((((Inputs!$E$3*(1+Inputs!$E$4)^(7-1))*Inputs!$E$5)*Inputs!$E$6)+((Inputs!$E$7*(1+Inputs!$E$8)^(7-1))*Inputs!$E$9)+(Inputs!$E$11*(1+Inputs!$E$12)^(7-1))+(IF(7&lt;Inputs!$E$13,0,Inputs!$E$14*(1+Inputs!$E$15)^(7-Inputs!$E$13)*Inputs!$E$16))))-(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+(((Inputs!$E$7*(1+Inputs!$E$8)^(7-1))*Inputs!$E$10))+(((((((Inputs!$E$3*(1+Inputs!$E$4)^(7-1))*Inputs!$E$5)*Inputs!$E$6)+((Inputs!$E$7*(1+Inputs!$E$8)^(7-1))*Inputs!$E$9)+(Inputs!$E$11*(1+Inputs!$E$12)^(7-1))+(IF(7&lt;Inputs!$E$13,0,Inputs!$E$14*(1+Inputs!$E$15)^(7-Inputs!$E$13)*Inputs!$E$16))))*Inputs!$E$29))+((Inputs!$E$19+Inputs!$E$20+(Inputs!$E$21*$C7)+Inputs!$E$22+Inputs!$E$23))+(IF(AND(Inputs!$E$24&gt;0,7=Inputs!$E$24),Inputs!$E$25,0))+(MAX((((((((Inputs!$E$3*(1+Inputs!$E$4)^(7-1))*Inputs!$E$5)*Inputs!$E$6)+((Inputs!$E$7*(1+Inputs!$E$8)^(7-1))*Inputs!$E$9)+(Inputs!$E$11*(1+Inputs!$E$12)^(7-1))+(IF(7&lt;Inputs!$E$13,0,Inputs!$E$14*(1+Inputs!$E$15)^(7-Inputs!$E$13)*Inputs!$E$16))))-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-(((Inputs!$E$7*(1+Inputs!$E$8)^(7-1))*Inputs!$E$10))-(((((((Inputs!$E$3*(1+Inputs!$E$4)^(7-1))*Inputs!$E$5)*Inputs!$E$6)+((Inputs!$E$7*(1+Inputs!$E$8)^(7-1))*Inputs!$E$9)+(Inputs!$E$11*(1+Inputs!$E$12)^(7-1))+(IF(7&lt;Inputs!$E$13,0,Inputs!$E$14*(1+Inputs!$E$15)^(7-Inputs!$E$13)*Inputs!$E$16))))*Inputs!$E$29))-((Inputs!$E$19+Inputs!$E$20+(Inputs!$E$21*$C7)+Inputs!$E$22+Inputs!$E$23))-(IF(AND(Inputs!$E$24&gt;0,7=Inputs!$E$24),Inputs!$E$25,0)))),0)*Inputs!$E$28))))+(IF(AND(Inputs!$E$17&gt;0,7=Inputs!$E$17),Inputs!$E$18,0))))</f>
        <v/>
      </c>
      <c r="N7" s="8">
        <f>M7+(((((((((Inputs!$E$3*(1+Inputs!$E$4)^(8-1))*Inputs!$E$5)*Inputs!$E$6)+((Inputs!$E$7*(1+Inputs!$E$8)^(8-1))*Inputs!$E$9)+(Inputs!$E$11*(1+Inputs!$E$12)^(8-1))+(IF(8&lt;Inputs!$E$13,0,Inputs!$E$14*(1+Inputs!$E$15)^(8-Inputs!$E$13)*Inputs!$E$16))))-(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+(((Inputs!$E$7*(1+Inputs!$E$8)^(8-1))*Inputs!$E$10))+(((((((Inputs!$E$3*(1+Inputs!$E$4)^(8-1))*Inputs!$E$5)*Inputs!$E$6)+((Inputs!$E$7*(1+Inputs!$E$8)^(8-1))*Inputs!$E$9)+(Inputs!$E$11*(1+Inputs!$E$12)^(8-1))+(IF(8&lt;Inputs!$E$13,0,Inputs!$E$14*(1+Inputs!$E$15)^(8-Inputs!$E$13)*Inputs!$E$16))))*Inputs!$E$29))+((Inputs!$E$19+Inputs!$E$20+(Inputs!$E$21*$C7)+Inputs!$E$22+Inputs!$E$23))+(IF(AND(Inputs!$E$24&gt;0,8=Inputs!$E$24),Inputs!$E$25,0))+(MAX((((((((Inputs!$E$3*(1+Inputs!$E$4)^(8-1))*Inputs!$E$5)*Inputs!$E$6)+((Inputs!$E$7*(1+Inputs!$E$8)^(8-1))*Inputs!$E$9)+(Inputs!$E$11*(1+Inputs!$E$12)^(8-1))+(IF(8&lt;Inputs!$E$13,0,Inputs!$E$14*(1+Inputs!$E$15)^(8-Inputs!$E$13)*Inputs!$E$16))))-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-(((Inputs!$E$7*(1+Inputs!$E$8)^(8-1))*Inputs!$E$10))-(((((((Inputs!$E$3*(1+Inputs!$E$4)^(8-1))*Inputs!$E$5)*Inputs!$E$6)+((Inputs!$E$7*(1+Inputs!$E$8)^(8-1))*Inputs!$E$9)+(Inputs!$E$11*(1+Inputs!$E$12)^(8-1))+(IF(8&lt;Inputs!$E$13,0,Inputs!$E$14*(1+Inputs!$E$15)^(8-Inputs!$E$13)*Inputs!$E$16))))*Inputs!$E$29))-((Inputs!$E$19+Inputs!$E$20+(Inputs!$E$21*$C7)+Inputs!$E$22+Inputs!$E$23))-(IF(AND(Inputs!$E$24&gt;0,8=Inputs!$E$24),Inputs!$E$25,0)))),0)*Inputs!$E$28))))+(IF(AND(Inputs!$E$17&gt;0,8=Inputs!$E$17),Inputs!$E$18,0))))</f>
        <v/>
      </c>
      <c r="O7" s="8">
        <f>N7+(((((((((Inputs!$E$3*(1+Inputs!$E$4)^(9-1))*Inputs!$E$5)*Inputs!$E$6)+((Inputs!$E$7*(1+Inputs!$E$8)^(9-1))*Inputs!$E$9)+(Inputs!$E$11*(1+Inputs!$E$12)^(9-1))+(IF(9&lt;Inputs!$E$13,0,Inputs!$E$14*(1+Inputs!$E$15)^(9-Inputs!$E$13)*Inputs!$E$16))))-(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+(((Inputs!$E$7*(1+Inputs!$E$8)^(9-1))*Inputs!$E$10))+(((((((Inputs!$E$3*(1+Inputs!$E$4)^(9-1))*Inputs!$E$5)*Inputs!$E$6)+((Inputs!$E$7*(1+Inputs!$E$8)^(9-1))*Inputs!$E$9)+(Inputs!$E$11*(1+Inputs!$E$12)^(9-1))+(IF(9&lt;Inputs!$E$13,0,Inputs!$E$14*(1+Inputs!$E$15)^(9-Inputs!$E$13)*Inputs!$E$16))))*Inputs!$E$29))+((Inputs!$E$19+Inputs!$E$20+(Inputs!$E$21*$C7)+Inputs!$E$22+Inputs!$E$23))+(IF(AND(Inputs!$E$24&gt;0,9=Inputs!$E$24),Inputs!$E$25,0))+(MAX((((((((Inputs!$E$3*(1+Inputs!$E$4)^(9-1))*Inputs!$E$5)*Inputs!$E$6)+((Inputs!$E$7*(1+Inputs!$E$8)^(9-1))*Inputs!$E$9)+(Inputs!$E$11*(1+Inputs!$E$12)^(9-1))+(IF(9&lt;Inputs!$E$13,0,Inputs!$E$14*(1+Inputs!$E$15)^(9-Inputs!$E$13)*Inputs!$E$16))))-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-(((Inputs!$E$7*(1+Inputs!$E$8)^(9-1))*Inputs!$E$10))-(((((((Inputs!$E$3*(1+Inputs!$E$4)^(9-1))*Inputs!$E$5)*Inputs!$E$6)+((Inputs!$E$7*(1+Inputs!$E$8)^(9-1))*Inputs!$E$9)+(Inputs!$E$11*(1+Inputs!$E$12)^(9-1))+(IF(9&lt;Inputs!$E$13,0,Inputs!$E$14*(1+Inputs!$E$15)^(9-Inputs!$E$13)*Inputs!$E$16))))*Inputs!$E$29))-((Inputs!$E$19+Inputs!$E$20+(Inputs!$E$21*$C7)+Inputs!$E$22+Inputs!$E$23))-(IF(AND(Inputs!$E$24&gt;0,9=Inputs!$E$24),Inputs!$E$25,0)))),0)*Inputs!$E$28))))+(IF(AND(Inputs!$E$17&gt;0,9=Inputs!$E$17),Inputs!$E$18,0))))</f>
        <v/>
      </c>
      <c r="P7" s="8">
        <f>O7+(((((((((Inputs!$E$3*(1+Inputs!$E$4)^(10-1))*Inputs!$E$5)*Inputs!$E$6)+((Inputs!$E$7*(1+Inputs!$E$8)^(10-1))*Inputs!$E$9)+(Inputs!$E$11*(1+Inputs!$E$12)^(10-1))+(IF(10&lt;Inputs!$E$13,0,Inputs!$E$14*(1+Inputs!$E$15)^(10-Inputs!$E$13)*Inputs!$E$16))))-(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+(((Inputs!$E$7*(1+Inputs!$E$8)^(10-1))*Inputs!$E$10))+(((((((Inputs!$E$3*(1+Inputs!$E$4)^(10-1))*Inputs!$E$5)*Inputs!$E$6)+((Inputs!$E$7*(1+Inputs!$E$8)^(10-1))*Inputs!$E$9)+(Inputs!$E$11*(1+Inputs!$E$12)^(10-1))+(IF(10&lt;Inputs!$E$13,0,Inputs!$E$14*(1+Inputs!$E$15)^(10-Inputs!$E$13)*Inputs!$E$16))))*Inputs!$E$29))+((Inputs!$E$19+Inputs!$E$20+(Inputs!$E$21*$C7)+Inputs!$E$22+Inputs!$E$23))+(IF(AND(Inputs!$E$24&gt;0,10=Inputs!$E$24),Inputs!$E$25,0))+(MAX((((((((Inputs!$E$3*(1+Inputs!$E$4)^(10-1))*Inputs!$E$5)*Inputs!$E$6)+((Inputs!$E$7*(1+Inputs!$E$8)^(10-1))*Inputs!$E$9)+(Inputs!$E$11*(1+Inputs!$E$12)^(10-1))+(IF(10&lt;Inputs!$E$13,0,Inputs!$E$14*(1+Inputs!$E$15)^(10-Inputs!$E$13)*Inputs!$E$16))))-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-(((Inputs!$E$7*(1+Inputs!$E$8)^(10-1))*Inputs!$E$10))-(((((((Inputs!$E$3*(1+Inputs!$E$4)^(10-1))*Inputs!$E$5)*Inputs!$E$6)+((Inputs!$E$7*(1+Inputs!$E$8)^(10-1))*Inputs!$E$9)+(Inputs!$E$11*(1+Inputs!$E$12)^(10-1))+(IF(10&lt;Inputs!$E$13,0,Inputs!$E$14*(1+Inputs!$E$15)^(10-Inputs!$E$13)*Inputs!$E$16))))*Inputs!$E$29))-((Inputs!$E$19+Inputs!$E$20+(Inputs!$E$21*$C7)+Inputs!$E$22+Inputs!$E$23))-(IF(AND(Inputs!$E$24&gt;0,10=Inputs!$E$24),Inputs!$E$25,0)))),0)*Inputs!$E$28))))+(IF(AND(Inputs!$E$17&gt;0,10=Inputs!$E$17),Inputs!$E$18,0))))</f>
        <v/>
      </c>
      <c r="Q7" s="8">
        <f>P7+(((((((((Inputs!$E$3*(1+Inputs!$E$4)^(11-1))*Inputs!$E$5)*Inputs!$E$6)+((Inputs!$E$7*(1+Inputs!$E$8)^(11-1))*Inputs!$E$9)+(Inputs!$E$11*(1+Inputs!$E$12)^(11-1))+(IF(11&lt;Inputs!$E$13,0,Inputs!$E$14*(1+Inputs!$E$15)^(11-Inputs!$E$13)*Inputs!$E$16))))-(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+(((Inputs!$E$7*(1+Inputs!$E$8)^(11-1))*Inputs!$E$10))+(((((((Inputs!$E$3*(1+Inputs!$E$4)^(11-1))*Inputs!$E$5)*Inputs!$E$6)+((Inputs!$E$7*(1+Inputs!$E$8)^(11-1))*Inputs!$E$9)+(Inputs!$E$11*(1+Inputs!$E$12)^(11-1))+(IF(11&lt;Inputs!$E$13,0,Inputs!$E$14*(1+Inputs!$E$15)^(11-Inputs!$E$13)*Inputs!$E$16))))*Inputs!$E$29))+((Inputs!$E$19+Inputs!$E$20+(Inputs!$E$21*$C7)+Inputs!$E$22+Inputs!$E$23))+(IF(AND(Inputs!$E$24&gt;0,11=Inputs!$E$24),Inputs!$E$25,0))+(MAX((((((((Inputs!$E$3*(1+Inputs!$E$4)^(11-1))*Inputs!$E$5)*Inputs!$E$6)+((Inputs!$E$7*(1+Inputs!$E$8)^(11-1))*Inputs!$E$9)+(Inputs!$E$11*(1+Inputs!$E$12)^(11-1))+(IF(11&lt;Inputs!$E$13,0,Inputs!$E$14*(1+Inputs!$E$15)^(11-Inputs!$E$13)*Inputs!$E$16))))-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-(((Inputs!$E$7*(1+Inputs!$E$8)^(11-1))*Inputs!$E$10))-(((((((Inputs!$E$3*(1+Inputs!$E$4)^(11-1))*Inputs!$E$5)*Inputs!$E$6)+((Inputs!$E$7*(1+Inputs!$E$8)^(11-1))*Inputs!$E$9)+(Inputs!$E$11*(1+Inputs!$E$12)^(11-1))+(IF(11&lt;Inputs!$E$13,0,Inputs!$E$14*(1+Inputs!$E$15)^(11-Inputs!$E$13)*Inputs!$E$16))))*Inputs!$E$29))-((Inputs!$E$19+Inputs!$E$20+(Inputs!$E$21*$C7)+Inputs!$E$22+Inputs!$E$23))-(IF(AND(Inputs!$E$24&gt;0,11=Inputs!$E$24),Inputs!$E$25,0)))),0)*Inputs!$E$28))))+(IF(AND(Inputs!$E$17&gt;0,11=Inputs!$E$17),Inputs!$E$18,0))))</f>
        <v/>
      </c>
      <c r="R7" s="8">
        <f>Q7+(((((((((Inputs!$E$3*(1+Inputs!$E$4)^(12-1))*Inputs!$E$5)*Inputs!$E$6)+((Inputs!$E$7*(1+Inputs!$E$8)^(12-1))*Inputs!$E$9)+(Inputs!$E$11*(1+Inputs!$E$12)^(12-1))+(IF(12&lt;Inputs!$E$13,0,Inputs!$E$14*(1+Inputs!$E$15)^(12-Inputs!$E$13)*Inputs!$E$16))))-(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+(((Inputs!$E$7*(1+Inputs!$E$8)^(12-1))*Inputs!$E$10))+(((((((Inputs!$E$3*(1+Inputs!$E$4)^(12-1))*Inputs!$E$5)*Inputs!$E$6)+((Inputs!$E$7*(1+Inputs!$E$8)^(12-1))*Inputs!$E$9)+(Inputs!$E$11*(1+Inputs!$E$12)^(12-1))+(IF(12&lt;Inputs!$E$13,0,Inputs!$E$14*(1+Inputs!$E$15)^(12-Inputs!$E$13)*Inputs!$E$16))))*Inputs!$E$29))+((Inputs!$E$19+Inputs!$E$20+(Inputs!$E$21*$C7)+Inputs!$E$22+Inputs!$E$23))+(IF(AND(Inputs!$E$24&gt;0,12=Inputs!$E$24),Inputs!$E$25,0))+(MAX((((((((Inputs!$E$3*(1+Inputs!$E$4)^(12-1))*Inputs!$E$5)*Inputs!$E$6)+((Inputs!$E$7*(1+Inputs!$E$8)^(12-1))*Inputs!$E$9)+(Inputs!$E$11*(1+Inputs!$E$12)^(12-1))+(IF(12&lt;Inputs!$E$13,0,Inputs!$E$14*(1+Inputs!$E$15)^(12-Inputs!$E$13)*Inputs!$E$16))))-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-(((Inputs!$E$7*(1+Inputs!$E$8)^(12-1))*Inputs!$E$10))-(((((((Inputs!$E$3*(1+Inputs!$E$4)^(12-1))*Inputs!$E$5)*Inputs!$E$6)+((Inputs!$E$7*(1+Inputs!$E$8)^(12-1))*Inputs!$E$9)+(Inputs!$E$11*(1+Inputs!$E$12)^(12-1))+(IF(12&lt;Inputs!$E$13,0,Inputs!$E$14*(1+Inputs!$E$15)^(12-Inputs!$E$13)*Inputs!$E$16))))*Inputs!$E$29))-((Inputs!$E$19+Inputs!$E$20+(Inputs!$E$21*$C7)+Inputs!$E$22+Inputs!$E$23))-(IF(AND(Inputs!$E$24&gt;0,12=Inputs!$E$24),Inputs!$E$25,0)))),0)*Inputs!$E$28))))+(IF(AND(Inputs!$E$17&gt;0,12=Inputs!$E$17),Inputs!$E$18,0))))</f>
        <v/>
      </c>
      <c r="S7" s="8">
        <f>R7+(((((((((Inputs!$E$3*(1+Inputs!$E$4)^(13-1))*Inputs!$E$5)*Inputs!$E$6)+((Inputs!$E$7*(1+Inputs!$E$8)^(13-1))*Inputs!$E$9)+(Inputs!$E$11*(1+Inputs!$E$12)^(13-1))+(IF(13&lt;Inputs!$E$13,0,Inputs!$E$14*(1+Inputs!$E$15)^(13-Inputs!$E$13)*Inputs!$E$16))))-(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+(((Inputs!$E$7*(1+Inputs!$E$8)^(13-1))*Inputs!$E$10))+(((((((Inputs!$E$3*(1+Inputs!$E$4)^(13-1))*Inputs!$E$5)*Inputs!$E$6)+((Inputs!$E$7*(1+Inputs!$E$8)^(13-1))*Inputs!$E$9)+(Inputs!$E$11*(1+Inputs!$E$12)^(13-1))+(IF(13&lt;Inputs!$E$13,0,Inputs!$E$14*(1+Inputs!$E$15)^(13-Inputs!$E$13)*Inputs!$E$16))))*Inputs!$E$29))+((Inputs!$E$19+Inputs!$E$20+(Inputs!$E$21*$C7)+Inputs!$E$22+Inputs!$E$23))+(IF(AND(Inputs!$E$24&gt;0,13=Inputs!$E$24),Inputs!$E$25,0))+(MAX((((((((Inputs!$E$3*(1+Inputs!$E$4)^(13-1))*Inputs!$E$5)*Inputs!$E$6)+((Inputs!$E$7*(1+Inputs!$E$8)^(13-1))*Inputs!$E$9)+(Inputs!$E$11*(1+Inputs!$E$12)^(13-1))+(IF(13&lt;Inputs!$E$13,0,Inputs!$E$14*(1+Inputs!$E$15)^(13-Inputs!$E$13)*Inputs!$E$16))))-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-(((Inputs!$E$7*(1+Inputs!$E$8)^(13-1))*Inputs!$E$10))-(((((((Inputs!$E$3*(1+Inputs!$E$4)^(13-1))*Inputs!$E$5)*Inputs!$E$6)+((Inputs!$E$7*(1+Inputs!$E$8)^(13-1))*Inputs!$E$9)+(Inputs!$E$11*(1+Inputs!$E$12)^(13-1))+(IF(13&lt;Inputs!$E$13,0,Inputs!$E$14*(1+Inputs!$E$15)^(13-Inputs!$E$13)*Inputs!$E$16))))*Inputs!$E$29))-((Inputs!$E$19+Inputs!$E$20+(Inputs!$E$21*$C7)+Inputs!$E$22+Inputs!$E$23))-(IF(AND(Inputs!$E$24&gt;0,13=Inputs!$E$24),Inputs!$E$25,0)))),0)*Inputs!$E$28))))+(IF(AND(Inputs!$E$17&gt;0,13=Inputs!$E$17),Inputs!$E$18,0))))</f>
        <v/>
      </c>
      <c r="T7" s="8">
        <f>S7+(((((((((Inputs!$E$3*(1+Inputs!$E$4)^(14-1))*Inputs!$E$5)*Inputs!$E$6)+((Inputs!$E$7*(1+Inputs!$E$8)^(14-1))*Inputs!$E$9)+(Inputs!$E$11*(1+Inputs!$E$12)^(14-1))+(IF(14&lt;Inputs!$E$13,0,Inputs!$E$14*(1+Inputs!$E$15)^(14-Inputs!$E$13)*Inputs!$E$16))))-(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+(((Inputs!$E$7*(1+Inputs!$E$8)^(14-1))*Inputs!$E$10))+(((((((Inputs!$E$3*(1+Inputs!$E$4)^(14-1))*Inputs!$E$5)*Inputs!$E$6)+((Inputs!$E$7*(1+Inputs!$E$8)^(14-1))*Inputs!$E$9)+(Inputs!$E$11*(1+Inputs!$E$12)^(14-1))+(IF(14&lt;Inputs!$E$13,0,Inputs!$E$14*(1+Inputs!$E$15)^(14-Inputs!$E$13)*Inputs!$E$16))))*Inputs!$E$29))+((Inputs!$E$19+Inputs!$E$20+(Inputs!$E$21*$C7)+Inputs!$E$22+Inputs!$E$23))+(IF(AND(Inputs!$E$24&gt;0,14=Inputs!$E$24),Inputs!$E$25,0))+(MAX((((((((Inputs!$E$3*(1+Inputs!$E$4)^(14-1))*Inputs!$E$5)*Inputs!$E$6)+((Inputs!$E$7*(1+Inputs!$E$8)^(14-1))*Inputs!$E$9)+(Inputs!$E$11*(1+Inputs!$E$12)^(14-1))+(IF(14&lt;Inputs!$E$13,0,Inputs!$E$14*(1+Inputs!$E$15)^(14-Inputs!$E$13)*Inputs!$E$16))))-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-(((Inputs!$E$7*(1+Inputs!$E$8)^(14-1))*Inputs!$E$10))-(((((((Inputs!$E$3*(1+Inputs!$E$4)^(14-1))*Inputs!$E$5)*Inputs!$E$6)+((Inputs!$E$7*(1+Inputs!$E$8)^(14-1))*Inputs!$E$9)+(Inputs!$E$11*(1+Inputs!$E$12)^(14-1))+(IF(14&lt;Inputs!$E$13,0,Inputs!$E$14*(1+Inputs!$E$15)^(14-Inputs!$E$13)*Inputs!$E$16))))*Inputs!$E$29))-((Inputs!$E$19+Inputs!$E$20+(Inputs!$E$21*$C7)+Inputs!$E$22+Inputs!$E$23))-(IF(AND(Inputs!$E$24&gt;0,14=Inputs!$E$24),Inputs!$E$25,0)))),0)*Inputs!$E$28))))+(IF(AND(Inputs!$E$17&gt;0,14=Inputs!$E$17),Inputs!$E$18,0))))</f>
        <v/>
      </c>
      <c r="U7" s="8">
        <f>T7+(((((((((Inputs!$E$3*(1+Inputs!$E$4)^(15-1))*Inputs!$E$5)*Inputs!$E$6)+((Inputs!$E$7*(1+Inputs!$E$8)^(15-1))*Inputs!$E$9)+(Inputs!$E$11*(1+Inputs!$E$12)^(15-1))+(IF(15&lt;Inputs!$E$13,0,Inputs!$E$14*(1+Inputs!$E$15)^(15-Inputs!$E$13)*Inputs!$E$16))))-(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+(((Inputs!$E$7*(1+Inputs!$E$8)^(15-1))*Inputs!$E$10))+(((((((Inputs!$E$3*(1+Inputs!$E$4)^(15-1))*Inputs!$E$5)*Inputs!$E$6)+((Inputs!$E$7*(1+Inputs!$E$8)^(15-1))*Inputs!$E$9)+(Inputs!$E$11*(1+Inputs!$E$12)^(15-1))+(IF(15&lt;Inputs!$E$13,0,Inputs!$E$14*(1+Inputs!$E$15)^(15-Inputs!$E$13)*Inputs!$E$16))))*Inputs!$E$29))+((Inputs!$E$19+Inputs!$E$20+(Inputs!$E$21*$C7)+Inputs!$E$22+Inputs!$E$23))+(IF(AND(Inputs!$E$24&gt;0,15=Inputs!$E$24),Inputs!$E$25,0))+(MAX((((((((Inputs!$E$3*(1+Inputs!$E$4)^(15-1))*Inputs!$E$5)*Inputs!$E$6)+((Inputs!$E$7*(1+Inputs!$E$8)^(15-1))*Inputs!$E$9)+(Inputs!$E$11*(1+Inputs!$E$12)^(15-1))+(IF(15&lt;Inputs!$E$13,0,Inputs!$E$14*(1+Inputs!$E$15)^(15-Inputs!$E$13)*Inputs!$E$16))))-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-(((Inputs!$E$7*(1+Inputs!$E$8)^(15-1))*Inputs!$E$10))-(((((((Inputs!$E$3*(1+Inputs!$E$4)^(15-1))*Inputs!$E$5)*Inputs!$E$6)+((Inputs!$E$7*(1+Inputs!$E$8)^(15-1))*Inputs!$E$9)+(Inputs!$E$11*(1+Inputs!$E$12)^(15-1))+(IF(15&lt;Inputs!$E$13,0,Inputs!$E$14*(1+Inputs!$E$15)^(15-Inputs!$E$13)*Inputs!$E$16))))*Inputs!$E$29))-((Inputs!$E$19+Inputs!$E$20+(Inputs!$E$21*$C7)+Inputs!$E$22+Inputs!$E$23))-(IF(AND(Inputs!$E$24&gt;0,15=Inputs!$E$24),Inputs!$E$25,0)))),0)*Inputs!$E$28))))+(IF(AND(Inputs!$E$17&gt;0,15=Inputs!$E$17),Inputs!$E$18,0))))</f>
        <v/>
      </c>
      <c r="V7" s="8">
        <f>U7+(((((((((Inputs!$E$3*(1+Inputs!$E$4)^(16-1))*Inputs!$E$5)*Inputs!$E$6)+((Inputs!$E$7*(1+Inputs!$E$8)^(16-1))*Inputs!$E$9)+(Inputs!$E$11*(1+Inputs!$E$12)^(16-1))+(IF(16&lt;Inputs!$E$13,0,Inputs!$E$14*(1+Inputs!$E$15)^(16-Inputs!$E$13)*Inputs!$E$16))))-(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+(((Inputs!$E$7*(1+Inputs!$E$8)^(16-1))*Inputs!$E$10))+(((((((Inputs!$E$3*(1+Inputs!$E$4)^(16-1))*Inputs!$E$5)*Inputs!$E$6)+((Inputs!$E$7*(1+Inputs!$E$8)^(16-1))*Inputs!$E$9)+(Inputs!$E$11*(1+Inputs!$E$12)^(16-1))+(IF(16&lt;Inputs!$E$13,0,Inputs!$E$14*(1+Inputs!$E$15)^(16-Inputs!$E$13)*Inputs!$E$16))))*Inputs!$E$29))+((Inputs!$E$19+Inputs!$E$20+(Inputs!$E$21*$C7)+Inputs!$E$22+Inputs!$E$23))+(IF(AND(Inputs!$E$24&gt;0,16=Inputs!$E$24),Inputs!$E$25,0))+(MAX((((((((Inputs!$E$3*(1+Inputs!$E$4)^(16-1))*Inputs!$E$5)*Inputs!$E$6)+((Inputs!$E$7*(1+Inputs!$E$8)^(16-1))*Inputs!$E$9)+(Inputs!$E$11*(1+Inputs!$E$12)^(16-1))+(IF(16&lt;Inputs!$E$13,0,Inputs!$E$14*(1+Inputs!$E$15)^(16-Inputs!$E$13)*Inputs!$E$16))))-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-(((Inputs!$E$7*(1+Inputs!$E$8)^(16-1))*Inputs!$E$10))-(((((((Inputs!$E$3*(1+Inputs!$E$4)^(16-1))*Inputs!$E$5)*Inputs!$E$6)+((Inputs!$E$7*(1+Inputs!$E$8)^(16-1))*Inputs!$E$9)+(Inputs!$E$11*(1+Inputs!$E$12)^(16-1))+(IF(16&lt;Inputs!$E$13,0,Inputs!$E$14*(1+Inputs!$E$15)^(16-Inputs!$E$13)*Inputs!$E$16))))*Inputs!$E$29))-((Inputs!$E$19+Inputs!$E$20+(Inputs!$E$21*$C7)+Inputs!$E$22+Inputs!$E$23))-(IF(AND(Inputs!$E$24&gt;0,16=Inputs!$E$24),Inputs!$E$25,0)))),0)*Inputs!$E$28))))+(IF(AND(Inputs!$E$17&gt;0,16=Inputs!$E$17),Inputs!$E$18,0))))</f>
        <v/>
      </c>
      <c r="W7" s="8">
        <f>V7+(((((((((Inputs!$E$3*(1+Inputs!$E$4)^(17-1))*Inputs!$E$5)*Inputs!$E$6)+((Inputs!$E$7*(1+Inputs!$E$8)^(17-1))*Inputs!$E$9)+(Inputs!$E$11*(1+Inputs!$E$12)^(17-1))+(IF(17&lt;Inputs!$E$13,0,Inputs!$E$14*(1+Inputs!$E$15)^(17-Inputs!$E$13)*Inputs!$E$16))))-(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+(((Inputs!$E$7*(1+Inputs!$E$8)^(17-1))*Inputs!$E$10))+(((((((Inputs!$E$3*(1+Inputs!$E$4)^(17-1))*Inputs!$E$5)*Inputs!$E$6)+((Inputs!$E$7*(1+Inputs!$E$8)^(17-1))*Inputs!$E$9)+(Inputs!$E$11*(1+Inputs!$E$12)^(17-1))+(IF(17&lt;Inputs!$E$13,0,Inputs!$E$14*(1+Inputs!$E$15)^(17-Inputs!$E$13)*Inputs!$E$16))))*Inputs!$E$29))+((Inputs!$E$19+Inputs!$E$20+(Inputs!$E$21*$C7)+Inputs!$E$22+Inputs!$E$23))+(IF(AND(Inputs!$E$24&gt;0,17=Inputs!$E$24),Inputs!$E$25,0))+(MAX((((((((Inputs!$E$3*(1+Inputs!$E$4)^(17-1))*Inputs!$E$5)*Inputs!$E$6)+((Inputs!$E$7*(1+Inputs!$E$8)^(17-1))*Inputs!$E$9)+(Inputs!$E$11*(1+Inputs!$E$12)^(17-1))+(IF(17&lt;Inputs!$E$13,0,Inputs!$E$14*(1+Inputs!$E$15)^(17-Inputs!$E$13)*Inputs!$E$16))))-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-(((Inputs!$E$7*(1+Inputs!$E$8)^(17-1))*Inputs!$E$10))-(((((((Inputs!$E$3*(1+Inputs!$E$4)^(17-1))*Inputs!$E$5)*Inputs!$E$6)+((Inputs!$E$7*(1+Inputs!$E$8)^(17-1))*Inputs!$E$9)+(Inputs!$E$11*(1+Inputs!$E$12)^(17-1))+(IF(17&lt;Inputs!$E$13,0,Inputs!$E$14*(1+Inputs!$E$15)^(17-Inputs!$E$13)*Inputs!$E$16))))*Inputs!$E$29))-((Inputs!$E$19+Inputs!$E$20+(Inputs!$E$21*$C7)+Inputs!$E$22+Inputs!$E$23))-(IF(AND(Inputs!$E$24&gt;0,17=Inputs!$E$24),Inputs!$E$25,0)))),0)*Inputs!$E$28))))+(IF(AND(Inputs!$E$17&gt;0,17=Inputs!$E$17),Inputs!$E$18,0))))</f>
        <v/>
      </c>
      <c r="X7" s="8">
        <f>W7+(((((((((Inputs!$E$3*(1+Inputs!$E$4)^(18-1))*Inputs!$E$5)*Inputs!$E$6)+((Inputs!$E$7*(1+Inputs!$E$8)^(18-1))*Inputs!$E$9)+(Inputs!$E$11*(1+Inputs!$E$12)^(18-1))+(IF(18&lt;Inputs!$E$13,0,Inputs!$E$14*(1+Inputs!$E$15)^(18-Inputs!$E$13)*Inputs!$E$16))))-(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+(((Inputs!$E$7*(1+Inputs!$E$8)^(18-1))*Inputs!$E$10))+(((((((Inputs!$E$3*(1+Inputs!$E$4)^(18-1))*Inputs!$E$5)*Inputs!$E$6)+((Inputs!$E$7*(1+Inputs!$E$8)^(18-1))*Inputs!$E$9)+(Inputs!$E$11*(1+Inputs!$E$12)^(18-1))+(IF(18&lt;Inputs!$E$13,0,Inputs!$E$14*(1+Inputs!$E$15)^(18-Inputs!$E$13)*Inputs!$E$16))))*Inputs!$E$29))+((Inputs!$E$19+Inputs!$E$20+(Inputs!$E$21*$C7)+Inputs!$E$22+Inputs!$E$23))+(IF(AND(Inputs!$E$24&gt;0,18=Inputs!$E$24),Inputs!$E$25,0))+(MAX((((((((Inputs!$E$3*(1+Inputs!$E$4)^(18-1))*Inputs!$E$5)*Inputs!$E$6)+((Inputs!$E$7*(1+Inputs!$E$8)^(18-1))*Inputs!$E$9)+(Inputs!$E$11*(1+Inputs!$E$12)^(18-1))+(IF(18&lt;Inputs!$E$13,0,Inputs!$E$14*(1+Inputs!$E$15)^(18-Inputs!$E$13)*Inputs!$E$16))))-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-(((Inputs!$E$7*(1+Inputs!$E$8)^(18-1))*Inputs!$E$10))-(((((((Inputs!$E$3*(1+Inputs!$E$4)^(18-1))*Inputs!$E$5)*Inputs!$E$6)+((Inputs!$E$7*(1+Inputs!$E$8)^(18-1))*Inputs!$E$9)+(Inputs!$E$11*(1+Inputs!$E$12)^(18-1))+(IF(18&lt;Inputs!$E$13,0,Inputs!$E$14*(1+Inputs!$E$15)^(18-Inputs!$E$13)*Inputs!$E$16))))*Inputs!$E$29))-((Inputs!$E$19+Inputs!$E$20+(Inputs!$E$21*$C7)+Inputs!$E$22+Inputs!$E$23))-(IF(AND(Inputs!$E$24&gt;0,18=Inputs!$E$24),Inputs!$E$25,0)))),0)*Inputs!$E$28))))+(IF(AND(Inputs!$E$17&gt;0,18=Inputs!$E$17),Inputs!$E$18,0))))</f>
        <v/>
      </c>
      <c r="Y7" s="8">
        <f>X7+(((((((((Inputs!$E$3*(1+Inputs!$E$4)^(19-1))*Inputs!$E$5)*Inputs!$E$6)+((Inputs!$E$7*(1+Inputs!$E$8)^(19-1))*Inputs!$E$9)+(Inputs!$E$11*(1+Inputs!$E$12)^(19-1))+(IF(19&lt;Inputs!$E$13,0,Inputs!$E$14*(1+Inputs!$E$15)^(19-Inputs!$E$13)*Inputs!$E$16))))-(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+(((Inputs!$E$7*(1+Inputs!$E$8)^(19-1))*Inputs!$E$10))+(((((((Inputs!$E$3*(1+Inputs!$E$4)^(19-1))*Inputs!$E$5)*Inputs!$E$6)+((Inputs!$E$7*(1+Inputs!$E$8)^(19-1))*Inputs!$E$9)+(Inputs!$E$11*(1+Inputs!$E$12)^(19-1))+(IF(19&lt;Inputs!$E$13,0,Inputs!$E$14*(1+Inputs!$E$15)^(19-Inputs!$E$13)*Inputs!$E$16))))*Inputs!$E$29))+((Inputs!$E$19+Inputs!$E$20+(Inputs!$E$21*$C7)+Inputs!$E$22+Inputs!$E$23))+(IF(AND(Inputs!$E$24&gt;0,19=Inputs!$E$24),Inputs!$E$25,0))+(MAX((((((((Inputs!$E$3*(1+Inputs!$E$4)^(19-1))*Inputs!$E$5)*Inputs!$E$6)+((Inputs!$E$7*(1+Inputs!$E$8)^(19-1))*Inputs!$E$9)+(Inputs!$E$11*(1+Inputs!$E$12)^(19-1))+(IF(19&lt;Inputs!$E$13,0,Inputs!$E$14*(1+Inputs!$E$15)^(19-Inputs!$E$13)*Inputs!$E$16))))-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-(((Inputs!$E$7*(1+Inputs!$E$8)^(19-1))*Inputs!$E$10))-(((((((Inputs!$E$3*(1+Inputs!$E$4)^(19-1))*Inputs!$E$5)*Inputs!$E$6)+((Inputs!$E$7*(1+Inputs!$E$8)^(19-1))*Inputs!$E$9)+(Inputs!$E$11*(1+Inputs!$E$12)^(19-1))+(IF(19&lt;Inputs!$E$13,0,Inputs!$E$14*(1+Inputs!$E$15)^(19-Inputs!$E$13)*Inputs!$E$16))))*Inputs!$E$29))-((Inputs!$E$19+Inputs!$E$20+(Inputs!$E$21*$C7)+Inputs!$E$22+Inputs!$E$23))-(IF(AND(Inputs!$E$24&gt;0,19=Inputs!$E$24),Inputs!$E$25,0)))),0)*Inputs!$E$28))))+(IF(AND(Inputs!$E$17&gt;0,19=Inputs!$E$17),Inputs!$E$18,0))))</f>
        <v/>
      </c>
      <c r="Z7" s="8">
        <f>Y7+(((((((((Inputs!$E$3*(1+Inputs!$E$4)^(20-1))*Inputs!$E$5)*Inputs!$E$6)+((Inputs!$E$7*(1+Inputs!$E$8)^(20-1))*Inputs!$E$9)+(Inputs!$E$11*(1+Inputs!$E$12)^(20-1))+(IF(20&lt;Inputs!$E$13,0,Inputs!$E$14*(1+Inputs!$E$15)^(20-Inputs!$E$13)*Inputs!$E$16))))-(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+(((Inputs!$E$7*(1+Inputs!$E$8)^(20-1))*Inputs!$E$10))+(((((((Inputs!$E$3*(1+Inputs!$E$4)^(20-1))*Inputs!$E$5)*Inputs!$E$6)+((Inputs!$E$7*(1+Inputs!$E$8)^(20-1))*Inputs!$E$9)+(Inputs!$E$11*(1+Inputs!$E$12)^(20-1))+(IF(20&lt;Inputs!$E$13,0,Inputs!$E$14*(1+Inputs!$E$15)^(20-Inputs!$E$13)*Inputs!$E$16))))*Inputs!$E$29))+((Inputs!$E$19+Inputs!$E$20+(Inputs!$E$21*$C7)+Inputs!$E$22+Inputs!$E$23))+(IF(AND(Inputs!$E$24&gt;0,20=Inputs!$E$24),Inputs!$E$25,0))+(MAX((((((((Inputs!$E$3*(1+Inputs!$E$4)^(20-1))*Inputs!$E$5)*Inputs!$E$6)+((Inputs!$E$7*(1+Inputs!$E$8)^(20-1))*Inputs!$E$9)+(Inputs!$E$11*(1+Inputs!$E$12)^(20-1))+(IF(20&lt;Inputs!$E$13,0,Inputs!$E$14*(1+Inputs!$E$15)^(20-Inputs!$E$13)*Inputs!$E$16))))-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-(((Inputs!$E$7*(1+Inputs!$E$8)^(20-1))*Inputs!$E$10))-(((((((Inputs!$E$3*(1+Inputs!$E$4)^(20-1))*Inputs!$E$5)*Inputs!$E$6)+((Inputs!$E$7*(1+Inputs!$E$8)^(20-1))*Inputs!$E$9)+(Inputs!$E$11*(1+Inputs!$E$12)^(20-1))+(IF(20&lt;Inputs!$E$13,0,Inputs!$E$14*(1+Inputs!$E$15)^(20-Inputs!$E$13)*Inputs!$E$16))))*Inputs!$E$29))-((Inputs!$E$19+Inputs!$E$20+(Inputs!$E$21*$C7)+Inputs!$E$22+Inputs!$E$23))-(IF(AND(Inputs!$E$24&gt;0,20=Inputs!$E$24),Inputs!$E$25,0)))),0)*Inputs!$E$28))))+(IF(AND(Inputs!$E$17&gt;0,20=Inputs!$E$17),Inputs!$E$18,0))))</f>
        <v/>
      </c>
      <c r="AA7" s="8">
        <f>Z7+(((((((((Inputs!$E$3*(1+Inputs!$E$4)^(21-1))*Inputs!$E$5)*Inputs!$E$6)+((Inputs!$E$7*(1+Inputs!$E$8)^(21-1))*Inputs!$E$9)+(Inputs!$E$11*(1+Inputs!$E$12)^(21-1))+(IF(21&lt;Inputs!$E$13,0,Inputs!$E$14*(1+Inputs!$E$15)^(21-Inputs!$E$13)*Inputs!$E$16))))-(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+(((Inputs!$E$7*(1+Inputs!$E$8)^(21-1))*Inputs!$E$10))+(((((((Inputs!$E$3*(1+Inputs!$E$4)^(21-1))*Inputs!$E$5)*Inputs!$E$6)+((Inputs!$E$7*(1+Inputs!$E$8)^(21-1))*Inputs!$E$9)+(Inputs!$E$11*(1+Inputs!$E$12)^(21-1))+(IF(21&lt;Inputs!$E$13,0,Inputs!$E$14*(1+Inputs!$E$15)^(21-Inputs!$E$13)*Inputs!$E$16))))*Inputs!$E$29))+((Inputs!$E$19+Inputs!$E$20+(Inputs!$E$21*$C7)+Inputs!$E$22+Inputs!$E$23))+(IF(AND(Inputs!$E$24&gt;0,21=Inputs!$E$24),Inputs!$E$25,0))+(MAX((((((((Inputs!$E$3*(1+Inputs!$E$4)^(21-1))*Inputs!$E$5)*Inputs!$E$6)+((Inputs!$E$7*(1+Inputs!$E$8)^(21-1))*Inputs!$E$9)+(Inputs!$E$11*(1+Inputs!$E$12)^(21-1))+(IF(21&lt;Inputs!$E$13,0,Inputs!$E$14*(1+Inputs!$E$15)^(21-Inputs!$E$13)*Inputs!$E$16))))-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-(((Inputs!$E$7*(1+Inputs!$E$8)^(21-1))*Inputs!$E$10))-(((((((Inputs!$E$3*(1+Inputs!$E$4)^(21-1))*Inputs!$E$5)*Inputs!$E$6)+((Inputs!$E$7*(1+Inputs!$E$8)^(21-1))*Inputs!$E$9)+(Inputs!$E$11*(1+Inputs!$E$12)^(21-1))+(IF(21&lt;Inputs!$E$13,0,Inputs!$E$14*(1+Inputs!$E$15)^(21-Inputs!$E$13)*Inputs!$E$16))))*Inputs!$E$29))-((Inputs!$E$19+Inputs!$E$20+(Inputs!$E$21*$C7)+Inputs!$E$22+Inputs!$E$23))-(IF(AND(Inputs!$E$24&gt;0,21=Inputs!$E$24),Inputs!$E$25,0)))),0)*Inputs!$E$28))))+(IF(AND(Inputs!$E$17&gt;0,21=Inputs!$E$17),Inputs!$E$18,0))))</f>
        <v/>
      </c>
      <c r="AB7" s="8">
        <f>AA7+(((((((((Inputs!$E$3*(1+Inputs!$E$4)^(22-1))*Inputs!$E$5)*Inputs!$E$6)+((Inputs!$E$7*(1+Inputs!$E$8)^(22-1))*Inputs!$E$9)+(Inputs!$E$11*(1+Inputs!$E$12)^(22-1))+(IF(22&lt;Inputs!$E$13,0,Inputs!$E$14*(1+Inputs!$E$15)^(22-Inputs!$E$13)*Inputs!$E$16))))-(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+(((Inputs!$E$7*(1+Inputs!$E$8)^(22-1))*Inputs!$E$10))+(((((((Inputs!$E$3*(1+Inputs!$E$4)^(22-1))*Inputs!$E$5)*Inputs!$E$6)+((Inputs!$E$7*(1+Inputs!$E$8)^(22-1))*Inputs!$E$9)+(Inputs!$E$11*(1+Inputs!$E$12)^(22-1))+(IF(22&lt;Inputs!$E$13,0,Inputs!$E$14*(1+Inputs!$E$15)^(22-Inputs!$E$13)*Inputs!$E$16))))*Inputs!$E$29))+((Inputs!$E$19+Inputs!$E$20+(Inputs!$E$21*$C7)+Inputs!$E$22+Inputs!$E$23))+(IF(AND(Inputs!$E$24&gt;0,22=Inputs!$E$24),Inputs!$E$25,0))+(MAX((((((((Inputs!$E$3*(1+Inputs!$E$4)^(22-1))*Inputs!$E$5)*Inputs!$E$6)+((Inputs!$E$7*(1+Inputs!$E$8)^(22-1))*Inputs!$E$9)+(Inputs!$E$11*(1+Inputs!$E$12)^(22-1))+(IF(22&lt;Inputs!$E$13,0,Inputs!$E$14*(1+Inputs!$E$15)^(22-Inputs!$E$13)*Inputs!$E$16))))-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-(((Inputs!$E$7*(1+Inputs!$E$8)^(22-1))*Inputs!$E$10))-(((((((Inputs!$E$3*(1+Inputs!$E$4)^(22-1))*Inputs!$E$5)*Inputs!$E$6)+((Inputs!$E$7*(1+Inputs!$E$8)^(22-1))*Inputs!$E$9)+(Inputs!$E$11*(1+Inputs!$E$12)^(22-1))+(IF(22&lt;Inputs!$E$13,0,Inputs!$E$14*(1+Inputs!$E$15)^(22-Inputs!$E$13)*Inputs!$E$16))))*Inputs!$E$29))-((Inputs!$E$19+Inputs!$E$20+(Inputs!$E$21*$C7)+Inputs!$E$22+Inputs!$E$23))-(IF(AND(Inputs!$E$24&gt;0,22=Inputs!$E$24),Inputs!$E$25,0)))),0)*Inputs!$E$28))))+(IF(AND(Inputs!$E$17&gt;0,22=Inputs!$E$17),Inputs!$E$18,0))))</f>
        <v/>
      </c>
      <c r="AC7" s="8">
        <f>AB7+(((((((((Inputs!$E$3*(1+Inputs!$E$4)^(23-1))*Inputs!$E$5)*Inputs!$E$6)+((Inputs!$E$7*(1+Inputs!$E$8)^(23-1))*Inputs!$E$9)+(Inputs!$E$11*(1+Inputs!$E$12)^(23-1))+(IF(23&lt;Inputs!$E$13,0,Inputs!$E$14*(1+Inputs!$E$15)^(23-Inputs!$E$13)*Inputs!$E$16))))-(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+(((Inputs!$E$7*(1+Inputs!$E$8)^(23-1))*Inputs!$E$10))+(((((((Inputs!$E$3*(1+Inputs!$E$4)^(23-1))*Inputs!$E$5)*Inputs!$E$6)+((Inputs!$E$7*(1+Inputs!$E$8)^(23-1))*Inputs!$E$9)+(Inputs!$E$11*(1+Inputs!$E$12)^(23-1))+(IF(23&lt;Inputs!$E$13,0,Inputs!$E$14*(1+Inputs!$E$15)^(23-Inputs!$E$13)*Inputs!$E$16))))*Inputs!$E$29))+((Inputs!$E$19+Inputs!$E$20+(Inputs!$E$21*$C7)+Inputs!$E$22+Inputs!$E$23))+(IF(AND(Inputs!$E$24&gt;0,23=Inputs!$E$24),Inputs!$E$25,0))+(MAX((((((((Inputs!$E$3*(1+Inputs!$E$4)^(23-1))*Inputs!$E$5)*Inputs!$E$6)+((Inputs!$E$7*(1+Inputs!$E$8)^(23-1))*Inputs!$E$9)+(Inputs!$E$11*(1+Inputs!$E$12)^(23-1))+(IF(23&lt;Inputs!$E$13,0,Inputs!$E$14*(1+Inputs!$E$15)^(23-Inputs!$E$13)*Inputs!$E$16))))-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-(((Inputs!$E$7*(1+Inputs!$E$8)^(23-1))*Inputs!$E$10))-(((((((Inputs!$E$3*(1+Inputs!$E$4)^(23-1))*Inputs!$E$5)*Inputs!$E$6)+((Inputs!$E$7*(1+Inputs!$E$8)^(23-1))*Inputs!$E$9)+(Inputs!$E$11*(1+Inputs!$E$12)^(23-1))+(IF(23&lt;Inputs!$E$13,0,Inputs!$E$14*(1+Inputs!$E$15)^(23-Inputs!$E$13)*Inputs!$E$16))))*Inputs!$E$29))-((Inputs!$E$19+Inputs!$E$20+(Inputs!$E$21*$C7)+Inputs!$E$22+Inputs!$E$23))-(IF(AND(Inputs!$E$24&gt;0,23=Inputs!$E$24),Inputs!$E$25,0)))),0)*Inputs!$E$28))))+(IF(AND(Inputs!$E$17&gt;0,23=Inputs!$E$17),Inputs!$E$18,0))))</f>
        <v/>
      </c>
      <c r="AD7" s="8">
        <f>AC7+(((((((((Inputs!$E$3*(1+Inputs!$E$4)^(24-1))*Inputs!$E$5)*Inputs!$E$6)+((Inputs!$E$7*(1+Inputs!$E$8)^(24-1))*Inputs!$E$9)+(Inputs!$E$11*(1+Inputs!$E$12)^(24-1))+(IF(24&lt;Inputs!$E$13,0,Inputs!$E$14*(1+Inputs!$E$15)^(24-Inputs!$E$13)*Inputs!$E$16))))-(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+(((Inputs!$E$7*(1+Inputs!$E$8)^(24-1))*Inputs!$E$10))+(((((((Inputs!$E$3*(1+Inputs!$E$4)^(24-1))*Inputs!$E$5)*Inputs!$E$6)+((Inputs!$E$7*(1+Inputs!$E$8)^(24-1))*Inputs!$E$9)+(Inputs!$E$11*(1+Inputs!$E$12)^(24-1))+(IF(24&lt;Inputs!$E$13,0,Inputs!$E$14*(1+Inputs!$E$15)^(24-Inputs!$E$13)*Inputs!$E$16))))*Inputs!$E$29))+((Inputs!$E$19+Inputs!$E$20+(Inputs!$E$21*$C7)+Inputs!$E$22+Inputs!$E$23))+(IF(AND(Inputs!$E$24&gt;0,24=Inputs!$E$24),Inputs!$E$25,0))+(MAX((((((((Inputs!$E$3*(1+Inputs!$E$4)^(24-1))*Inputs!$E$5)*Inputs!$E$6)+((Inputs!$E$7*(1+Inputs!$E$8)^(24-1))*Inputs!$E$9)+(Inputs!$E$11*(1+Inputs!$E$12)^(24-1))+(IF(24&lt;Inputs!$E$13,0,Inputs!$E$14*(1+Inputs!$E$15)^(24-Inputs!$E$13)*Inputs!$E$16))))-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-(((Inputs!$E$7*(1+Inputs!$E$8)^(24-1))*Inputs!$E$10))-(((((((Inputs!$E$3*(1+Inputs!$E$4)^(24-1))*Inputs!$E$5)*Inputs!$E$6)+((Inputs!$E$7*(1+Inputs!$E$8)^(24-1))*Inputs!$E$9)+(Inputs!$E$11*(1+Inputs!$E$12)^(24-1))+(IF(24&lt;Inputs!$E$13,0,Inputs!$E$14*(1+Inputs!$E$15)^(24-Inputs!$E$13)*Inputs!$E$16))))*Inputs!$E$29))-((Inputs!$E$19+Inputs!$E$20+(Inputs!$E$21*$C7)+Inputs!$E$22+Inputs!$E$23))-(IF(AND(Inputs!$E$24&gt;0,24=Inputs!$E$24),Inputs!$E$25,0)))),0)*Inputs!$E$28))))+(IF(AND(Inputs!$E$17&gt;0,24=Inputs!$E$17),Inputs!$E$18,0))))</f>
        <v/>
      </c>
      <c r="AE7" s="8">
        <f>AD7+(((((((((Inputs!$E$3*(1+Inputs!$E$4)^(25-1))*Inputs!$E$5)*Inputs!$E$6)+((Inputs!$E$7*(1+Inputs!$E$8)^(25-1))*Inputs!$E$9)+(Inputs!$E$11*(1+Inputs!$E$12)^(25-1))+(IF(25&lt;Inputs!$E$13,0,Inputs!$E$14*(1+Inputs!$E$15)^(25-Inputs!$E$13)*Inputs!$E$16))))-(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+(((Inputs!$E$7*(1+Inputs!$E$8)^(25-1))*Inputs!$E$10))+(((((((Inputs!$E$3*(1+Inputs!$E$4)^(25-1))*Inputs!$E$5)*Inputs!$E$6)+((Inputs!$E$7*(1+Inputs!$E$8)^(25-1))*Inputs!$E$9)+(Inputs!$E$11*(1+Inputs!$E$12)^(25-1))+(IF(25&lt;Inputs!$E$13,0,Inputs!$E$14*(1+Inputs!$E$15)^(25-Inputs!$E$13)*Inputs!$E$16))))*Inputs!$E$29))+((Inputs!$E$19+Inputs!$E$20+(Inputs!$E$21*$C7)+Inputs!$E$22+Inputs!$E$23))+(IF(AND(Inputs!$E$24&gt;0,25=Inputs!$E$24),Inputs!$E$25,0))+(MAX((((((((Inputs!$E$3*(1+Inputs!$E$4)^(25-1))*Inputs!$E$5)*Inputs!$E$6)+((Inputs!$E$7*(1+Inputs!$E$8)^(25-1))*Inputs!$E$9)+(Inputs!$E$11*(1+Inputs!$E$12)^(25-1))+(IF(25&lt;Inputs!$E$13,0,Inputs!$E$14*(1+Inputs!$E$15)^(25-Inputs!$E$13)*Inputs!$E$16))))-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-(((Inputs!$E$7*(1+Inputs!$E$8)^(25-1))*Inputs!$E$10))-(((((((Inputs!$E$3*(1+Inputs!$E$4)^(25-1))*Inputs!$E$5)*Inputs!$E$6)+((Inputs!$E$7*(1+Inputs!$E$8)^(25-1))*Inputs!$E$9)+(Inputs!$E$11*(1+Inputs!$E$12)^(25-1))+(IF(25&lt;Inputs!$E$13,0,Inputs!$E$14*(1+Inputs!$E$15)^(25-Inputs!$E$13)*Inputs!$E$16))))*Inputs!$E$29))-((Inputs!$E$19+Inputs!$E$20+(Inputs!$E$21*$C7)+Inputs!$E$22+Inputs!$E$23))-(IF(AND(Inputs!$E$24&gt;0,25=Inputs!$E$24),Inputs!$E$25,0)))),0)*Inputs!$E$28))))+(IF(AND(Inputs!$E$17&gt;0,25=Inputs!$E$17),Inputs!$E$18,0))))</f>
        <v/>
      </c>
      <c r="AF7" s="8">
        <f>AE7+(((((((((Inputs!$E$3*(1+Inputs!$E$4)^(26-1))*Inputs!$E$5)*Inputs!$E$6)+((Inputs!$E$7*(1+Inputs!$E$8)^(26-1))*Inputs!$E$9)+(Inputs!$E$11*(1+Inputs!$E$12)^(26-1))+(IF(26&lt;Inputs!$E$13,0,Inputs!$E$14*(1+Inputs!$E$15)^(26-Inputs!$E$13)*Inputs!$E$16))))-(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+(((Inputs!$E$7*(1+Inputs!$E$8)^(26-1))*Inputs!$E$10))+(((((((Inputs!$E$3*(1+Inputs!$E$4)^(26-1))*Inputs!$E$5)*Inputs!$E$6)+((Inputs!$E$7*(1+Inputs!$E$8)^(26-1))*Inputs!$E$9)+(Inputs!$E$11*(1+Inputs!$E$12)^(26-1))+(IF(26&lt;Inputs!$E$13,0,Inputs!$E$14*(1+Inputs!$E$15)^(26-Inputs!$E$13)*Inputs!$E$16))))*Inputs!$E$29))+((Inputs!$E$19+Inputs!$E$20+(Inputs!$E$21*$C7)+Inputs!$E$22+Inputs!$E$23))+(IF(AND(Inputs!$E$24&gt;0,26=Inputs!$E$24),Inputs!$E$25,0))+(MAX((((((((Inputs!$E$3*(1+Inputs!$E$4)^(26-1))*Inputs!$E$5)*Inputs!$E$6)+((Inputs!$E$7*(1+Inputs!$E$8)^(26-1))*Inputs!$E$9)+(Inputs!$E$11*(1+Inputs!$E$12)^(26-1))+(IF(26&lt;Inputs!$E$13,0,Inputs!$E$14*(1+Inputs!$E$15)^(26-Inputs!$E$13)*Inputs!$E$16))))-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-(((Inputs!$E$7*(1+Inputs!$E$8)^(26-1))*Inputs!$E$10))-(((((((Inputs!$E$3*(1+Inputs!$E$4)^(26-1))*Inputs!$E$5)*Inputs!$E$6)+((Inputs!$E$7*(1+Inputs!$E$8)^(26-1))*Inputs!$E$9)+(Inputs!$E$11*(1+Inputs!$E$12)^(26-1))+(IF(26&lt;Inputs!$E$13,0,Inputs!$E$14*(1+Inputs!$E$15)^(26-Inputs!$E$13)*Inputs!$E$16))))*Inputs!$E$29))-((Inputs!$E$19+Inputs!$E$20+(Inputs!$E$21*$C7)+Inputs!$E$22+Inputs!$E$23))-(IF(AND(Inputs!$E$24&gt;0,26=Inputs!$E$24),Inputs!$E$25,0)))),0)*Inputs!$E$28))))+(IF(AND(Inputs!$E$17&gt;0,26=Inputs!$E$17),Inputs!$E$18,0))))</f>
        <v/>
      </c>
      <c r="AG7" s="8">
        <f>AF7+(((((((((Inputs!$E$3*(1+Inputs!$E$4)^(27-1))*Inputs!$E$5)*Inputs!$E$6)+((Inputs!$E$7*(1+Inputs!$E$8)^(27-1))*Inputs!$E$9)+(Inputs!$E$11*(1+Inputs!$E$12)^(27-1))+(IF(27&lt;Inputs!$E$13,0,Inputs!$E$14*(1+Inputs!$E$15)^(27-Inputs!$E$13)*Inputs!$E$16))))-(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+(((Inputs!$E$7*(1+Inputs!$E$8)^(27-1))*Inputs!$E$10))+(((((((Inputs!$E$3*(1+Inputs!$E$4)^(27-1))*Inputs!$E$5)*Inputs!$E$6)+((Inputs!$E$7*(1+Inputs!$E$8)^(27-1))*Inputs!$E$9)+(Inputs!$E$11*(1+Inputs!$E$12)^(27-1))+(IF(27&lt;Inputs!$E$13,0,Inputs!$E$14*(1+Inputs!$E$15)^(27-Inputs!$E$13)*Inputs!$E$16))))*Inputs!$E$29))+((Inputs!$E$19+Inputs!$E$20+(Inputs!$E$21*$C7)+Inputs!$E$22+Inputs!$E$23))+(IF(AND(Inputs!$E$24&gt;0,27=Inputs!$E$24),Inputs!$E$25,0))+(MAX((((((((Inputs!$E$3*(1+Inputs!$E$4)^(27-1))*Inputs!$E$5)*Inputs!$E$6)+((Inputs!$E$7*(1+Inputs!$E$8)^(27-1))*Inputs!$E$9)+(Inputs!$E$11*(1+Inputs!$E$12)^(27-1))+(IF(27&lt;Inputs!$E$13,0,Inputs!$E$14*(1+Inputs!$E$15)^(27-Inputs!$E$13)*Inputs!$E$16))))-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-(((Inputs!$E$7*(1+Inputs!$E$8)^(27-1))*Inputs!$E$10))-(((((((Inputs!$E$3*(1+Inputs!$E$4)^(27-1))*Inputs!$E$5)*Inputs!$E$6)+((Inputs!$E$7*(1+Inputs!$E$8)^(27-1))*Inputs!$E$9)+(Inputs!$E$11*(1+Inputs!$E$12)^(27-1))+(IF(27&lt;Inputs!$E$13,0,Inputs!$E$14*(1+Inputs!$E$15)^(27-Inputs!$E$13)*Inputs!$E$16))))*Inputs!$E$29))-((Inputs!$E$19+Inputs!$E$20+(Inputs!$E$21*$C7)+Inputs!$E$22+Inputs!$E$23))-(IF(AND(Inputs!$E$24&gt;0,27=Inputs!$E$24),Inputs!$E$25,0)))),0)*Inputs!$E$28))))+(IF(AND(Inputs!$E$17&gt;0,27=Inputs!$E$17),Inputs!$E$18,0))))</f>
        <v/>
      </c>
      <c r="AH7" s="8">
        <f>AG7+(((((((((Inputs!$E$3*(1+Inputs!$E$4)^(28-1))*Inputs!$E$5)*Inputs!$E$6)+((Inputs!$E$7*(1+Inputs!$E$8)^(28-1))*Inputs!$E$9)+(Inputs!$E$11*(1+Inputs!$E$12)^(28-1))+(IF(28&lt;Inputs!$E$13,0,Inputs!$E$14*(1+Inputs!$E$15)^(28-Inputs!$E$13)*Inputs!$E$16))))-(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+(((Inputs!$E$7*(1+Inputs!$E$8)^(28-1))*Inputs!$E$10))+(((((((Inputs!$E$3*(1+Inputs!$E$4)^(28-1))*Inputs!$E$5)*Inputs!$E$6)+((Inputs!$E$7*(1+Inputs!$E$8)^(28-1))*Inputs!$E$9)+(Inputs!$E$11*(1+Inputs!$E$12)^(28-1))+(IF(28&lt;Inputs!$E$13,0,Inputs!$E$14*(1+Inputs!$E$15)^(28-Inputs!$E$13)*Inputs!$E$16))))*Inputs!$E$29))+((Inputs!$E$19+Inputs!$E$20+(Inputs!$E$21*$C7)+Inputs!$E$22+Inputs!$E$23))+(IF(AND(Inputs!$E$24&gt;0,28=Inputs!$E$24),Inputs!$E$25,0))+(MAX((((((((Inputs!$E$3*(1+Inputs!$E$4)^(28-1))*Inputs!$E$5)*Inputs!$E$6)+((Inputs!$E$7*(1+Inputs!$E$8)^(28-1))*Inputs!$E$9)+(Inputs!$E$11*(1+Inputs!$E$12)^(28-1))+(IF(28&lt;Inputs!$E$13,0,Inputs!$E$14*(1+Inputs!$E$15)^(28-Inputs!$E$13)*Inputs!$E$16))))-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-(((Inputs!$E$7*(1+Inputs!$E$8)^(28-1))*Inputs!$E$10))-(((((((Inputs!$E$3*(1+Inputs!$E$4)^(28-1))*Inputs!$E$5)*Inputs!$E$6)+((Inputs!$E$7*(1+Inputs!$E$8)^(28-1))*Inputs!$E$9)+(Inputs!$E$11*(1+Inputs!$E$12)^(28-1))+(IF(28&lt;Inputs!$E$13,0,Inputs!$E$14*(1+Inputs!$E$15)^(28-Inputs!$E$13)*Inputs!$E$16))))*Inputs!$E$29))-((Inputs!$E$19+Inputs!$E$20+(Inputs!$E$21*$C7)+Inputs!$E$22+Inputs!$E$23))-(IF(AND(Inputs!$E$24&gt;0,28=Inputs!$E$24),Inputs!$E$25,0)))),0)*Inputs!$E$28))))+(IF(AND(Inputs!$E$17&gt;0,28=Inputs!$E$17),Inputs!$E$18,0))))</f>
        <v/>
      </c>
      <c r="AI7" s="8">
        <f>AH7+(((((((((Inputs!$E$3*(1+Inputs!$E$4)^(29-1))*Inputs!$E$5)*Inputs!$E$6)+((Inputs!$E$7*(1+Inputs!$E$8)^(29-1))*Inputs!$E$9)+(Inputs!$E$11*(1+Inputs!$E$12)^(29-1))+(IF(29&lt;Inputs!$E$13,0,Inputs!$E$14*(1+Inputs!$E$15)^(29-Inputs!$E$13)*Inputs!$E$16))))-(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+(((Inputs!$E$7*(1+Inputs!$E$8)^(29-1))*Inputs!$E$10))+(((((((Inputs!$E$3*(1+Inputs!$E$4)^(29-1))*Inputs!$E$5)*Inputs!$E$6)+((Inputs!$E$7*(1+Inputs!$E$8)^(29-1))*Inputs!$E$9)+(Inputs!$E$11*(1+Inputs!$E$12)^(29-1))+(IF(29&lt;Inputs!$E$13,0,Inputs!$E$14*(1+Inputs!$E$15)^(29-Inputs!$E$13)*Inputs!$E$16))))*Inputs!$E$29))+((Inputs!$E$19+Inputs!$E$20+(Inputs!$E$21*$C7)+Inputs!$E$22+Inputs!$E$23))+(IF(AND(Inputs!$E$24&gt;0,29=Inputs!$E$24),Inputs!$E$25,0))+(MAX((((((((Inputs!$E$3*(1+Inputs!$E$4)^(29-1))*Inputs!$E$5)*Inputs!$E$6)+((Inputs!$E$7*(1+Inputs!$E$8)^(29-1))*Inputs!$E$9)+(Inputs!$E$11*(1+Inputs!$E$12)^(29-1))+(IF(29&lt;Inputs!$E$13,0,Inputs!$E$14*(1+Inputs!$E$15)^(29-Inputs!$E$13)*Inputs!$E$16))))-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-(((Inputs!$E$7*(1+Inputs!$E$8)^(29-1))*Inputs!$E$10))-(((((((Inputs!$E$3*(1+Inputs!$E$4)^(29-1))*Inputs!$E$5)*Inputs!$E$6)+((Inputs!$E$7*(1+Inputs!$E$8)^(29-1))*Inputs!$E$9)+(Inputs!$E$11*(1+Inputs!$E$12)^(29-1))+(IF(29&lt;Inputs!$E$13,0,Inputs!$E$14*(1+Inputs!$E$15)^(29-Inputs!$E$13)*Inputs!$E$16))))*Inputs!$E$29))-((Inputs!$E$19+Inputs!$E$20+(Inputs!$E$21*$C7)+Inputs!$E$22+Inputs!$E$23))-(IF(AND(Inputs!$E$24&gt;0,29=Inputs!$E$24),Inputs!$E$25,0)))),0)*Inputs!$E$28))))+(IF(AND(Inputs!$E$17&gt;0,29=Inputs!$E$17),Inputs!$E$18,0))))</f>
        <v/>
      </c>
      <c r="AJ7" s="8">
        <f>AI7+(((((((((Inputs!$E$3*(1+Inputs!$E$4)^(30-1))*Inputs!$E$5)*Inputs!$E$6)+((Inputs!$E$7*(1+Inputs!$E$8)^(30-1))*Inputs!$E$9)+(Inputs!$E$11*(1+Inputs!$E$12)^(30-1))+(IF(30&lt;Inputs!$E$13,0,Inputs!$E$14*(1+Inputs!$E$15)^(30-Inputs!$E$13)*Inputs!$E$16))))-(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+(((Inputs!$E$7*(1+Inputs!$E$8)^(30-1))*Inputs!$E$10))+(((((((Inputs!$E$3*(1+Inputs!$E$4)^(30-1))*Inputs!$E$5)*Inputs!$E$6)+((Inputs!$E$7*(1+Inputs!$E$8)^(30-1))*Inputs!$E$9)+(Inputs!$E$11*(1+Inputs!$E$12)^(30-1))+(IF(30&lt;Inputs!$E$13,0,Inputs!$E$14*(1+Inputs!$E$15)^(30-Inputs!$E$13)*Inputs!$E$16))))*Inputs!$E$29))+((Inputs!$E$19+Inputs!$E$20+(Inputs!$E$21*$C7)+Inputs!$E$22+Inputs!$E$23))+(IF(AND(Inputs!$E$24&gt;0,30=Inputs!$E$24),Inputs!$E$25,0))+(MAX((((((((Inputs!$E$3*(1+Inputs!$E$4)^(30-1))*Inputs!$E$5)*Inputs!$E$6)+((Inputs!$E$7*(1+Inputs!$E$8)^(30-1))*Inputs!$E$9)+(Inputs!$E$11*(1+Inputs!$E$12)^(30-1))+(IF(30&lt;Inputs!$E$13,0,Inputs!$E$14*(1+Inputs!$E$15)^(30-Inputs!$E$13)*Inputs!$E$16))))-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-(((Inputs!$E$7*(1+Inputs!$E$8)^(30-1))*Inputs!$E$10))-(((((((Inputs!$E$3*(1+Inputs!$E$4)^(30-1))*Inputs!$E$5)*Inputs!$E$6)+((Inputs!$E$7*(1+Inputs!$E$8)^(30-1))*Inputs!$E$9)+(Inputs!$E$11*(1+Inputs!$E$12)^(30-1))+(IF(30&lt;Inputs!$E$13,0,Inputs!$E$14*(1+Inputs!$E$15)^(30-Inputs!$E$13)*Inputs!$E$16))))*Inputs!$E$29))-((Inputs!$E$19+Inputs!$E$20+(Inputs!$E$21*$C7)+Inputs!$E$22+Inputs!$E$23))-(IF(AND(Inputs!$E$24&gt;0,30=Inputs!$E$24),Inputs!$E$25,0)))),0)*Inputs!$E$28))))+(IF(AND(Inputs!$E$17&gt;0,30=Inputs!$E$17),Inputs!$E$18,0))))</f>
        <v/>
      </c>
      <c r="AK7" s="8">
        <f>AJ7+(((((((((Inputs!$E$3*(1+Inputs!$E$4)^(31-1))*Inputs!$E$5)*Inputs!$E$6)+((Inputs!$E$7*(1+Inputs!$E$8)^(31-1))*Inputs!$E$9)+(Inputs!$E$11*(1+Inputs!$E$12)^(31-1))+(IF(31&lt;Inputs!$E$13,0,Inputs!$E$14*(1+Inputs!$E$15)^(31-Inputs!$E$13)*Inputs!$E$16))))-(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+(((Inputs!$E$7*(1+Inputs!$E$8)^(31-1))*Inputs!$E$10))+(((((((Inputs!$E$3*(1+Inputs!$E$4)^(31-1))*Inputs!$E$5)*Inputs!$E$6)+((Inputs!$E$7*(1+Inputs!$E$8)^(31-1))*Inputs!$E$9)+(Inputs!$E$11*(1+Inputs!$E$12)^(31-1))+(IF(31&lt;Inputs!$E$13,0,Inputs!$E$14*(1+Inputs!$E$15)^(31-Inputs!$E$13)*Inputs!$E$16))))*Inputs!$E$29))+((Inputs!$E$19+Inputs!$E$20+(Inputs!$E$21*$C7)+Inputs!$E$22+Inputs!$E$23))+(IF(AND(Inputs!$E$24&gt;0,31=Inputs!$E$24),Inputs!$E$25,0))+(MAX((((((((Inputs!$E$3*(1+Inputs!$E$4)^(31-1))*Inputs!$E$5)*Inputs!$E$6)+((Inputs!$E$7*(1+Inputs!$E$8)^(31-1))*Inputs!$E$9)+(Inputs!$E$11*(1+Inputs!$E$12)^(31-1))+(IF(31&lt;Inputs!$E$13,0,Inputs!$E$14*(1+Inputs!$E$15)^(31-Inputs!$E$13)*Inputs!$E$16))))-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-(((Inputs!$E$7*(1+Inputs!$E$8)^(31-1))*Inputs!$E$10))-(((((((Inputs!$E$3*(1+Inputs!$E$4)^(31-1))*Inputs!$E$5)*Inputs!$E$6)+((Inputs!$E$7*(1+Inputs!$E$8)^(31-1))*Inputs!$E$9)+(Inputs!$E$11*(1+Inputs!$E$12)^(31-1))+(IF(31&lt;Inputs!$E$13,0,Inputs!$E$14*(1+Inputs!$E$15)^(31-Inputs!$E$13)*Inputs!$E$16))))*Inputs!$E$29))-((Inputs!$E$19+Inputs!$E$20+(Inputs!$E$21*$C7)+Inputs!$E$22+Inputs!$E$23))-(IF(AND(Inputs!$E$24&gt;0,31=Inputs!$E$24),Inputs!$E$25,0)))),0)*Inputs!$E$28))))+(IF(AND(Inputs!$E$17&gt;0,31=Inputs!$E$17),Inputs!$E$18,0))))</f>
        <v/>
      </c>
      <c r="AL7" s="8">
        <f>AK7+(((((((((Inputs!$E$3*(1+Inputs!$E$4)^(32-1))*Inputs!$E$5)*Inputs!$E$6)+((Inputs!$E$7*(1+Inputs!$E$8)^(32-1))*Inputs!$E$9)+(Inputs!$E$11*(1+Inputs!$E$12)^(32-1))+(IF(32&lt;Inputs!$E$13,0,Inputs!$E$14*(1+Inputs!$E$15)^(32-Inputs!$E$13)*Inputs!$E$16))))-(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+(((Inputs!$E$7*(1+Inputs!$E$8)^(32-1))*Inputs!$E$10))+(((((((Inputs!$E$3*(1+Inputs!$E$4)^(32-1))*Inputs!$E$5)*Inputs!$E$6)+((Inputs!$E$7*(1+Inputs!$E$8)^(32-1))*Inputs!$E$9)+(Inputs!$E$11*(1+Inputs!$E$12)^(32-1))+(IF(32&lt;Inputs!$E$13,0,Inputs!$E$14*(1+Inputs!$E$15)^(32-Inputs!$E$13)*Inputs!$E$16))))*Inputs!$E$29))+((Inputs!$E$19+Inputs!$E$20+(Inputs!$E$21*$C7)+Inputs!$E$22+Inputs!$E$23))+(IF(AND(Inputs!$E$24&gt;0,32=Inputs!$E$24),Inputs!$E$25,0))+(MAX((((((((Inputs!$E$3*(1+Inputs!$E$4)^(32-1))*Inputs!$E$5)*Inputs!$E$6)+((Inputs!$E$7*(1+Inputs!$E$8)^(32-1))*Inputs!$E$9)+(Inputs!$E$11*(1+Inputs!$E$12)^(32-1))+(IF(32&lt;Inputs!$E$13,0,Inputs!$E$14*(1+Inputs!$E$15)^(32-Inputs!$E$13)*Inputs!$E$16))))-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-(((Inputs!$E$7*(1+Inputs!$E$8)^(32-1))*Inputs!$E$10))-(((((((Inputs!$E$3*(1+Inputs!$E$4)^(32-1))*Inputs!$E$5)*Inputs!$E$6)+((Inputs!$E$7*(1+Inputs!$E$8)^(32-1))*Inputs!$E$9)+(Inputs!$E$11*(1+Inputs!$E$12)^(32-1))+(IF(32&lt;Inputs!$E$13,0,Inputs!$E$14*(1+Inputs!$E$15)^(32-Inputs!$E$13)*Inputs!$E$16))))*Inputs!$E$29))-((Inputs!$E$19+Inputs!$E$20+(Inputs!$E$21*$C7)+Inputs!$E$22+Inputs!$E$23))-(IF(AND(Inputs!$E$24&gt;0,32=Inputs!$E$24),Inputs!$E$25,0)))),0)*Inputs!$E$28))))+(IF(AND(Inputs!$E$17&gt;0,32=Inputs!$E$17),Inputs!$E$18,0))))</f>
        <v/>
      </c>
      <c r="AM7" s="8">
        <f>AL7+(((((((((Inputs!$E$3*(1+Inputs!$E$4)^(33-1))*Inputs!$E$5)*Inputs!$E$6)+((Inputs!$E$7*(1+Inputs!$E$8)^(33-1))*Inputs!$E$9)+(Inputs!$E$11*(1+Inputs!$E$12)^(33-1))+(IF(33&lt;Inputs!$E$13,0,Inputs!$E$14*(1+Inputs!$E$15)^(33-Inputs!$E$13)*Inputs!$E$16))))-(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+(((Inputs!$E$7*(1+Inputs!$E$8)^(33-1))*Inputs!$E$10))+(((((((Inputs!$E$3*(1+Inputs!$E$4)^(33-1))*Inputs!$E$5)*Inputs!$E$6)+((Inputs!$E$7*(1+Inputs!$E$8)^(33-1))*Inputs!$E$9)+(Inputs!$E$11*(1+Inputs!$E$12)^(33-1))+(IF(33&lt;Inputs!$E$13,0,Inputs!$E$14*(1+Inputs!$E$15)^(33-Inputs!$E$13)*Inputs!$E$16))))*Inputs!$E$29))+((Inputs!$E$19+Inputs!$E$20+(Inputs!$E$21*$C7)+Inputs!$E$22+Inputs!$E$23))+(IF(AND(Inputs!$E$24&gt;0,33=Inputs!$E$24),Inputs!$E$25,0))+(MAX((((((((Inputs!$E$3*(1+Inputs!$E$4)^(33-1))*Inputs!$E$5)*Inputs!$E$6)+((Inputs!$E$7*(1+Inputs!$E$8)^(33-1))*Inputs!$E$9)+(Inputs!$E$11*(1+Inputs!$E$12)^(33-1))+(IF(33&lt;Inputs!$E$13,0,Inputs!$E$14*(1+Inputs!$E$15)^(33-Inputs!$E$13)*Inputs!$E$16))))-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-(((Inputs!$E$7*(1+Inputs!$E$8)^(33-1))*Inputs!$E$10))-(((((((Inputs!$E$3*(1+Inputs!$E$4)^(33-1))*Inputs!$E$5)*Inputs!$E$6)+((Inputs!$E$7*(1+Inputs!$E$8)^(33-1))*Inputs!$E$9)+(Inputs!$E$11*(1+Inputs!$E$12)^(33-1))+(IF(33&lt;Inputs!$E$13,0,Inputs!$E$14*(1+Inputs!$E$15)^(33-Inputs!$E$13)*Inputs!$E$16))))*Inputs!$E$29))-((Inputs!$E$19+Inputs!$E$20+(Inputs!$E$21*$C7)+Inputs!$E$22+Inputs!$E$23))-(IF(AND(Inputs!$E$24&gt;0,33=Inputs!$E$24),Inputs!$E$25,0)))),0)*Inputs!$E$28))))+(IF(AND(Inputs!$E$17&gt;0,33=Inputs!$E$17),Inputs!$E$18,0))))</f>
        <v/>
      </c>
      <c r="AN7" s="8">
        <f>AM7+(((((((((Inputs!$E$3*(1+Inputs!$E$4)^(34-1))*Inputs!$E$5)*Inputs!$E$6)+((Inputs!$E$7*(1+Inputs!$E$8)^(34-1))*Inputs!$E$9)+(Inputs!$E$11*(1+Inputs!$E$12)^(34-1))+(IF(34&lt;Inputs!$E$13,0,Inputs!$E$14*(1+Inputs!$E$15)^(34-Inputs!$E$13)*Inputs!$E$16))))-(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+(((Inputs!$E$7*(1+Inputs!$E$8)^(34-1))*Inputs!$E$10))+(((((((Inputs!$E$3*(1+Inputs!$E$4)^(34-1))*Inputs!$E$5)*Inputs!$E$6)+((Inputs!$E$7*(1+Inputs!$E$8)^(34-1))*Inputs!$E$9)+(Inputs!$E$11*(1+Inputs!$E$12)^(34-1))+(IF(34&lt;Inputs!$E$13,0,Inputs!$E$14*(1+Inputs!$E$15)^(34-Inputs!$E$13)*Inputs!$E$16))))*Inputs!$E$29))+((Inputs!$E$19+Inputs!$E$20+(Inputs!$E$21*$C7)+Inputs!$E$22+Inputs!$E$23))+(IF(AND(Inputs!$E$24&gt;0,34=Inputs!$E$24),Inputs!$E$25,0))+(MAX((((((((Inputs!$E$3*(1+Inputs!$E$4)^(34-1))*Inputs!$E$5)*Inputs!$E$6)+((Inputs!$E$7*(1+Inputs!$E$8)^(34-1))*Inputs!$E$9)+(Inputs!$E$11*(1+Inputs!$E$12)^(34-1))+(IF(34&lt;Inputs!$E$13,0,Inputs!$E$14*(1+Inputs!$E$15)^(34-Inputs!$E$13)*Inputs!$E$16))))-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-(((Inputs!$E$7*(1+Inputs!$E$8)^(34-1))*Inputs!$E$10))-(((((((Inputs!$E$3*(1+Inputs!$E$4)^(34-1))*Inputs!$E$5)*Inputs!$E$6)+((Inputs!$E$7*(1+Inputs!$E$8)^(34-1))*Inputs!$E$9)+(Inputs!$E$11*(1+Inputs!$E$12)^(34-1))+(IF(34&lt;Inputs!$E$13,0,Inputs!$E$14*(1+Inputs!$E$15)^(34-Inputs!$E$13)*Inputs!$E$16))))*Inputs!$E$29))-((Inputs!$E$19+Inputs!$E$20+(Inputs!$E$21*$C7)+Inputs!$E$22+Inputs!$E$23))-(IF(AND(Inputs!$E$24&gt;0,34=Inputs!$E$24),Inputs!$E$25,0)))),0)*Inputs!$E$28))))+(IF(AND(Inputs!$E$17&gt;0,34=Inputs!$E$17),Inputs!$E$18,0))))</f>
        <v/>
      </c>
      <c r="AO7" s="8">
        <f>AN7+(((((((((Inputs!$E$3*(1+Inputs!$E$4)^(35-1))*Inputs!$E$5)*Inputs!$E$6)+((Inputs!$E$7*(1+Inputs!$E$8)^(35-1))*Inputs!$E$9)+(Inputs!$E$11*(1+Inputs!$E$12)^(35-1))+(IF(35&lt;Inputs!$E$13,0,Inputs!$E$14*(1+Inputs!$E$15)^(35-Inputs!$E$13)*Inputs!$E$16))))-(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+(((Inputs!$E$7*(1+Inputs!$E$8)^(35-1))*Inputs!$E$10))+(((((((Inputs!$E$3*(1+Inputs!$E$4)^(35-1))*Inputs!$E$5)*Inputs!$E$6)+((Inputs!$E$7*(1+Inputs!$E$8)^(35-1))*Inputs!$E$9)+(Inputs!$E$11*(1+Inputs!$E$12)^(35-1))+(IF(35&lt;Inputs!$E$13,0,Inputs!$E$14*(1+Inputs!$E$15)^(35-Inputs!$E$13)*Inputs!$E$16))))*Inputs!$E$29))+((Inputs!$E$19+Inputs!$E$20+(Inputs!$E$21*$C7)+Inputs!$E$22+Inputs!$E$23))+(IF(AND(Inputs!$E$24&gt;0,35=Inputs!$E$24),Inputs!$E$25,0))+(MAX((((((((Inputs!$E$3*(1+Inputs!$E$4)^(35-1))*Inputs!$E$5)*Inputs!$E$6)+((Inputs!$E$7*(1+Inputs!$E$8)^(35-1))*Inputs!$E$9)+(Inputs!$E$11*(1+Inputs!$E$12)^(35-1))+(IF(35&lt;Inputs!$E$13,0,Inputs!$E$14*(1+Inputs!$E$15)^(35-Inputs!$E$13)*Inputs!$E$16))))-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-(((Inputs!$E$7*(1+Inputs!$E$8)^(35-1))*Inputs!$E$10))-(((((((Inputs!$E$3*(1+Inputs!$E$4)^(35-1))*Inputs!$E$5)*Inputs!$E$6)+((Inputs!$E$7*(1+Inputs!$E$8)^(35-1))*Inputs!$E$9)+(Inputs!$E$11*(1+Inputs!$E$12)^(35-1))+(IF(35&lt;Inputs!$E$13,0,Inputs!$E$14*(1+Inputs!$E$15)^(35-Inputs!$E$13)*Inputs!$E$16))))*Inputs!$E$29))-((Inputs!$E$19+Inputs!$E$20+(Inputs!$E$21*$C7)+Inputs!$E$22+Inputs!$E$23))-(IF(AND(Inputs!$E$24&gt;0,35=Inputs!$E$24),Inputs!$E$25,0)))),0)*Inputs!$E$28))))+(IF(AND(Inputs!$E$17&gt;0,35=Inputs!$E$17),Inputs!$E$18,0))))</f>
        <v/>
      </c>
      <c r="AP7" s="8">
        <f>AO7+(((((((((Inputs!$E$3*(1+Inputs!$E$4)^(36-1))*Inputs!$E$5)*Inputs!$E$6)+((Inputs!$E$7*(1+Inputs!$E$8)^(36-1))*Inputs!$E$9)+(Inputs!$E$11*(1+Inputs!$E$12)^(36-1))+(IF(36&lt;Inputs!$E$13,0,Inputs!$E$14*(1+Inputs!$E$15)^(36-Inputs!$E$13)*Inputs!$E$16))))-(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+(((Inputs!$E$7*(1+Inputs!$E$8)^(36-1))*Inputs!$E$10))+(((((((Inputs!$E$3*(1+Inputs!$E$4)^(36-1))*Inputs!$E$5)*Inputs!$E$6)+((Inputs!$E$7*(1+Inputs!$E$8)^(36-1))*Inputs!$E$9)+(Inputs!$E$11*(1+Inputs!$E$12)^(36-1))+(IF(36&lt;Inputs!$E$13,0,Inputs!$E$14*(1+Inputs!$E$15)^(36-Inputs!$E$13)*Inputs!$E$16))))*Inputs!$E$29))+((Inputs!$E$19+Inputs!$E$20+(Inputs!$E$21*$C7)+Inputs!$E$22+Inputs!$E$23))+(IF(AND(Inputs!$E$24&gt;0,36=Inputs!$E$24),Inputs!$E$25,0))+(MAX((((((((Inputs!$E$3*(1+Inputs!$E$4)^(36-1))*Inputs!$E$5)*Inputs!$E$6)+((Inputs!$E$7*(1+Inputs!$E$8)^(36-1))*Inputs!$E$9)+(Inputs!$E$11*(1+Inputs!$E$12)^(36-1))+(IF(36&lt;Inputs!$E$13,0,Inputs!$E$14*(1+Inputs!$E$15)^(36-Inputs!$E$13)*Inputs!$E$16))))-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-(((Inputs!$E$7*(1+Inputs!$E$8)^(36-1))*Inputs!$E$10))-(((((((Inputs!$E$3*(1+Inputs!$E$4)^(36-1))*Inputs!$E$5)*Inputs!$E$6)+((Inputs!$E$7*(1+Inputs!$E$8)^(36-1))*Inputs!$E$9)+(Inputs!$E$11*(1+Inputs!$E$12)^(36-1))+(IF(36&lt;Inputs!$E$13,0,Inputs!$E$14*(1+Inputs!$E$15)^(36-Inputs!$E$13)*Inputs!$E$16))))*Inputs!$E$29))-((Inputs!$E$19+Inputs!$E$20+(Inputs!$E$21*$C7)+Inputs!$E$22+Inputs!$E$23))-(IF(AND(Inputs!$E$24&gt;0,36=Inputs!$E$24),Inputs!$E$25,0)))),0)*Inputs!$E$28))))+(IF(AND(Inputs!$E$17&gt;0,36=Inputs!$E$17),Inputs!$E$18,0))))</f>
        <v/>
      </c>
    </row>
    <row r="8">
      <c r="A8" s="2" t="inlineStr">
        <is>
          <t>contractor_dev</t>
        </is>
      </c>
      <c r="B8" s="2" t="inlineStr">
        <is>
          <t>Contractor/dev cost +25%</t>
        </is>
      </c>
      <c r="C8" s="2" t="n">
        <v>1.25</v>
      </c>
      <c r="D8" s="8">
        <f>AP8</f>
        <v/>
      </c>
      <c r="E8" s="8">
        <f>IFERROR(INDEX($G$1:$AP$1,MATCH(TRUE,$G8:$AP8&lt;0,0)),"No cash-out")</f>
        <v/>
      </c>
      <c r="F8" s="2" t="inlineStr">
        <is>
          <t>See ending cash / cash-out; monthly op net in Monthly Model</t>
        </is>
      </c>
      <c r="G8" s="8">
        <f>Inputs!$E$2+(((((((((Inputs!$E$3*(1+Inputs!$E$4)^(1-1))*Inputs!$E$5)*Inputs!$E$6)+((Inputs!$E$7*(1+Inputs!$E$8)^(1-1))*Inputs!$E$9)+(Inputs!$E$11*(1+Inputs!$E$12)^(1-1))+(IF(1&lt;Inputs!$E$13,0,Inputs!$E$14*(1+Inputs!$E$15)^(1-Inputs!$E$13)*Inputs!$E$16))))-(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+(((Inputs!$E$7*(1+Inputs!$E$8)^(1-1))*Inputs!$E$10))+(((((((Inputs!$E$3*(1+Inputs!$E$4)^(1-1))*Inputs!$E$5)*Inputs!$E$6)+((Inputs!$E$7*(1+Inputs!$E$8)^(1-1))*Inputs!$E$9)+(Inputs!$E$11*(1+Inputs!$E$12)^(1-1))+(IF(1&lt;Inputs!$E$13,0,Inputs!$E$14*(1+Inputs!$E$15)^(1-Inputs!$E$13)*Inputs!$E$16))))*Inputs!$E$29))+((Inputs!$E$19+Inputs!$E$20+Inputs!$E$21+(Inputs!$E$22*$C8)+Inputs!$E$23))+(IF(AND(Inputs!$E$24&gt;0,1=Inputs!$E$24),Inputs!$E$25,0))+(MAX((((((((Inputs!$E$3*(1+Inputs!$E$4)^(1-1))*Inputs!$E$5)*Inputs!$E$6)+((Inputs!$E$7*(1+Inputs!$E$8)^(1-1))*Inputs!$E$9)+(Inputs!$E$11*(1+Inputs!$E$12)^(1-1))+(IF(1&lt;Inputs!$E$13,0,Inputs!$E$14*(1+Inputs!$E$15)^(1-Inputs!$E$13)*Inputs!$E$16))))-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-(((Inputs!$E$7*(1+Inputs!$E$8)^(1-1))*Inputs!$E$10))-(((((((Inputs!$E$3*(1+Inputs!$E$4)^(1-1))*Inputs!$E$5)*Inputs!$E$6)+((Inputs!$E$7*(1+Inputs!$E$8)^(1-1))*Inputs!$E$9)+(Inputs!$E$11*(1+Inputs!$E$12)^(1-1))+(IF(1&lt;Inputs!$E$13,0,Inputs!$E$14*(1+Inputs!$E$15)^(1-Inputs!$E$13)*Inputs!$E$16))))*Inputs!$E$29))-((Inputs!$E$19+Inputs!$E$20+Inputs!$E$21+(Inputs!$E$22*$C8)+Inputs!$E$23))-(IF(AND(Inputs!$E$24&gt;0,1=Inputs!$E$24),Inputs!$E$25,0)))),0)*Inputs!$E$28))))+(IF(AND(Inputs!$E$17&gt;0,1=Inputs!$E$17),Inputs!$E$18,0))))</f>
        <v/>
      </c>
      <c r="H8" s="8">
        <f>G8+(((((((((Inputs!$E$3*(1+Inputs!$E$4)^(2-1))*Inputs!$E$5)*Inputs!$E$6)+((Inputs!$E$7*(1+Inputs!$E$8)^(2-1))*Inputs!$E$9)+(Inputs!$E$11*(1+Inputs!$E$12)^(2-1))+(IF(2&lt;Inputs!$E$13,0,Inputs!$E$14*(1+Inputs!$E$15)^(2-Inputs!$E$13)*Inputs!$E$16))))-(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+(((Inputs!$E$7*(1+Inputs!$E$8)^(2-1))*Inputs!$E$10))+(((((((Inputs!$E$3*(1+Inputs!$E$4)^(2-1))*Inputs!$E$5)*Inputs!$E$6)+((Inputs!$E$7*(1+Inputs!$E$8)^(2-1))*Inputs!$E$9)+(Inputs!$E$11*(1+Inputs!$E$12)^(2-1))+(IF(2&lt;Inputs!$E$13,0,Inputs!$E$14*(1+Inputs!$E$15)^(2-Inputs!$E$13)*Inputs!$E$16))))*Inputs!$E$29))+((Inputs!$E$19+Inputs!$E$20+Inputs!$E$21+(Inputs!$E$22*$C8)+Inputs!$E$23))+(IF(AND(Inputs!$E$24&gt;0,2=Inputs!$E$24),Inputs!$E$25,0))+(MAX((((((((Inputs!$E$3*(1+Inputs!$E$4)^(2-1))*Inputs!$E$5)*Inputs!$E$6)+((Inputs!$E$7*(1+Inputs!$E$8)^(2-1))*Inputs!$E$9)+(Inputs!$E$11*(1+Inputs!$E$12)^(2-1))+(IF(2&lt;Inputs!$E$13,0,Inputs!$E$14*(1+Inputs!$E$15)^(2-Inputs!$E$13)*Inputs!$E$16))))-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-(((Inputs!$E$7*(1+Inputs!$E$8)^(2-1))*Inputs!$E$10))-(((((((Inputs!$E$3*(1+Inputs!$E$4)^(2-1))*Inputs!$E$5)*Inputs!$E$6)+((Inputs!$E$7*(1+Inputs!$E$8)^(2-1))*Inputs!$E$9)+(Inputs!$E$11*(1+Inputs!$E$12)^(2-1))+(IF(2&lt;Inputs!$E$13,0,Inputs!$E$14*(1+Inputs!$E$15)^(2-Inputs!$E$13)*Inputs!$E$16))))*Inputs!$E$29))-((Inputs!$E$19+Inputs!$E$20+Inputs!$E$21+(Inputs!$E$22*$C8)+Inputs!$E$23))-(IF(AND(Inputs!$E$24&gt;0,2=Inputs!$E$24),Inputs!$E$25,0)))),0)*Inputs!$E$28))))+(IF(AND(Inputs!$E$17&gt;0,2=Inputs!$E$17),Inputs!$E$18,0))))</f>
        <v/>
      </c>
      <c r="I8" s="8">
        <f>H8+(((((((((Inputs!$E$3*(1+Inputs!$E$4)^(3-1))*Inputs!$E$5)*Inputs!$E$6)+((Inputs!$E$7*(1+Inputs!$E$8)^(3-1))*Inputs!$E$9)+(Inputs!$E$11*(1+Inputs!$E$12)^(3-1))+(IF(3&lt;Inputs!$E$13,0,Inputs!$E$14*(1+Inputs!$E$15)^(3-Inputs!$E$13)*Inputs!$E$16))))-(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+(((Inputs!$E$7*(1+Inputs!$E$8)^(3-1))*Inputs!$E$10))+(((((((Inputs!$E$3*(1+Inputs!$E$4)^(3-1))*Inputs!$E$5)*Inputs!$E$6)+((Inputs!$E$7*(1+Inputs!$E$8)^(3-1))*Inputs!$E$9)+(Inputs!$E$11*(1+Inputs!$E$12)^(3-1))+(IF(3&lt;Inputs!$E$13,0,Inputs!$E$14*(1+Inputs!$E$15)^(3-Inputs!$E$13)*Inputs!$E$16))))*Inputs!$E$29))+((Inputs!$E$19+Inputs!$E$20+Inputs!$E$21+(Inputs!$E$22*$C8)+Inputs!$E$23))+(IF(AND(Inputs!$E$24&gt;0,3=Inputs!$E$24),Inputs!$E$25,0))+(MAX((((((((Inputs!$E$3*(1+Inputs!$E$4)^(3-1))*Inputs!$E$5)*Inputs!$E$6)+((Inputs!$E$7*(1+Inputs!$E$8)^(3-1))*Inputs!$E$9)+(Inputs!$E$11*(1+Inputs!$E$12)^(3-1))+(IF(3&lt;Inputs!$E$13,0,Inputs!$E$14*(1+Inputs!$E$15)^(3-Inputs!$E$13)*Inputs!$E$16))))-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-(((Inputs!$E$7*(1+Inputs!$E$8)^(3-1))*Inputs!$E$10))-(((((((Inputs!$E$3*(1+Inputs!$E$4)^(3-1))*Inputs!$E$5)*Inputs!$E$6)+((Inputs!$E$7*(1+Inputs!$E$8)^(3-1))*Inputs!$E$9)+(Inputs!$E$11*(1+Inputs!$E$12)^(3-1))+(IF(3&lt;Inputs!$E$13,0,Inputs!$E$14*(1+Inputs!$E$15)^(3-Inputs!$E$13)*Inputs!$E$16))))*Inputs!$E$29))-((Inputs!$E$19+Inputs!$E$20+Inputs!$E$21+(Inputs!$E$22*$C8)+Inputs!$E$23))-(IF(AND(Inputs!$E$24&gt;0,3=Inputs!$E$24),Inputs!$E$25,0)))),0)*Inputs!$E$28))))+(IF(AND(Inputs!$E$17&gt;0,3=Inputs!$E$17),Inputs!$E$18,0))))</f>
        <v/>
      </c>
      <c r="J8" s="8">
        <f>I8+(((((((((Inputs!$E$3*(1+Inputs!$E$4)^(4-1))*Inputs!$E$5)*Inputs!$E$6)+((Inputs!$E$7*(1+Inputs!$E$8)^(4-1))*Inputs!$E$9)+(Inputs!$E$11*(1+Inputs!$E$12)^(4-1))+(IF(4&lt;Inputs!$E$13,0,Inputs!$E$14*(1+Inputs!$E$15)^(4-Inputs!$E$13)*Inputs!$E$16))))-(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+(((Inputs!$E$7*(1+Inputs!$E$8)^(4-1))*Inputs!$E$10))+(((((((Inputs!$E$3*(1+Inputs!$E$4)^(4-1))*Inputs!$E$5)*Inputs!$E$6)+((Inputs!$E$7*(1+Inputs!$E$8)^(4-1))*Inputs!$E$9)+(Inputs!$E$11*(1+Inputs!$E$12)^(4-1))+(IF(4&lt;Inputs!$E$13,0,Inputs!$E$14*(1+Inputs!$E$15)^(4-Inputs!$E$13)*Inputs!$E$16))))*Inputs!$E$29))+((Inputs!$E$19+Inputs!$E$20+Inputs!$E$21+(Inputs!$E$22*$C8)+Inputs!$E$23))+(IF(AND(Inputs!$E$24&gt;0,4=Inputs!$E$24),Inputs!$E$25,0))+(MAX((((((((Inputs!$E$3*(1+Inputs!$E$4)^(4-1))*Inputs!$E$5)*Inputs!$E$6)+((Inputs!$E$7*(1+Inputs!$E$8)^(4-1))*Inputs!$E$9)+(Inputs!$E$11*(1+Inputs!$E$12)^(4-1))+(IF(4&lt;Inputs!$E$13,0,Inputs!$E$14*(1+Inputs!$E$15)^(4-Inputs!$E$13)*Inputs!$E$16))))-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-(((Inputs!$E$7*(1+Inputs!$E$8)^(4-1))*Inputs!$E$10))-(((((((Inputs!$E$3*(1+Inputs!$E$4)^(4-1))*Inputs!$E$5)*Inputs!$E$6)+((Inputs!$E$7*(1+Inputs!$E$8)^(4-1))*Inputs!$E$9)+(Inputs!$E$11*(1+Inputs!$E$12)^(4-1))+(IF(4&lt;Inputs!$E$13,0,Inputs!$E$14*(1+Inputs!$E$15)^(4-Inputs!$E$13)*Inputs!$E$16))))*Inputs!$E$29))-((Inputs!$E$19+Inputs!$E$20+Inputs!$E$21+(Inputs!$E$22*$C8)+Inputs!$E$23))-(IF(AND(Inputs!$E$24&gt;0,4=Inputs!$E$24),Inputs!$E$25,0)))),0)*Inputs!$E$28))))+(IF(AND(Inputs!$E$17&gt;0,4=Inputs!$E$17),Inputs!$E$18,0))))</f>
        <v/>
      </c>
      <c r="K8" s="8">
        <f>J8+(((((((((Inputs!$E$3*(1+Inputs!$E$4)^(5-1))*Inputs!$E$5)*Inputs!$E$6)+((Inputs!$E$7*(1+Inputs!$E$8)^(5-1))*Inputs!$E$9)+(Inputs!$E$11*(1+Inputs!$E$12)^(5-1))+(IF(5&lt;Inputs!$E$13,0,Inputs!$E$14*(1+Inputs!$E$15)^(5-Inputs!$E$13)*Inputs!$E$16))))-(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+(((Inputs!$E$7*(1+Inputs!$E$8)^(5-1))*Inputs!$E$10))+(((((((Inputs!$E$3*(1+Inputs!$E$4)^(5-1))*Inputs!$E$5)*Inputs!$E$6)+((Inputs!$E$7*(1+Inputs!$E$8)^(5-1))*Inputs!$E$9)+(Inputs!$E$11*(1+Inputs!$E$12)^(5-1))+(IF(5&lt;Inputs!$E$13,0,Inputs!$E$14*(1+Inputs!$E$15)^(5-Inputs!$E$13)*Inputs!$E$16))))*Inputs!$E$29))+((Inputs!$E$19+Inputs!$E$20+Inputs!$E$21+(Inputs!$E$22*$C8)+Inputs!$E$23))+(IF(AND(Inputs!$E$24&gt;0,5=Inputs!$E$24),Inputs!$E$25,0))+(MAX((((((((Inputs!$E$3*(1+Inputs!$E$4)^(5-1))*Inputs!$E$5)*Inputs!$E$6)+((Inputs!$E$7*(1+Inputs!$E$8)^(5-1))*Inputs!$E$9)+(Inputs!$E$11*(1+Inputs!$E$12)^(5-1))+(IF(5&lt;Inputs!$E$13,0,Inputs!$E$14*(1+Inputs!$E$15)^(5-Inputs!$E$13)*Inputs!$E$16))))-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-(((Inputs!$E$7*(1+Inputs!$E$8)^(5-1))*Inputs!$E$10))-(((((((Inputs!$E$3*(1+Inputs!$E$4)^(5-1))*Inputs!$E$5)*Inputs!$E$6)+((Inputs!$E$7*(1+Inputs!$E$8)^(5-1))*Inputs!$E$9)+(Inputs!$E$11*(1+Inputs!$E$12)^(5-1))+(IF(5&lt;Inputs!$E$13,0,Inputs!$E$14*(1+Inputs!$E$15)^(5-Inputs!$E$13)*Inputs!$E$16))))*Inputs!$E$29))-((Inputs!$E$19+Inputs!$E$20+Inputs!$E$21+(Inputs!$E$22*$C8)+Inputs!$E$23))-(IF(AND(Inputs!$E$24&gt;0,5=Inputs!$E$24),Inputs!$E$25,0)))),0)*Inputs!$E$28))))+(IF(AND(Inputs!$E$17&gt;0,5=Inputs!$E$17),Inputs!$E$18,0))))</f>
        <v/>
      </c>
      <c r="L8" s="8">
        <f>K8+(((((((((Inputs!$E$3*(1+Inputs!$E$4)^(6-1))*Inputs!$E$5)*Inputs!$E$6)+((Inputs!$E$7*(1+Inputs!$E$8)^(6-1))*Inputs!$E$9)+(Inputs!$E$11*(1+Inputs!$E$12)^(6-1))+(IF(6&lt;Inputs!$E$13,0,Inputs!$E$14*(1+Inputs!$E$15)^(6-Inputs!$E$13)*Inputs!$E$16))))-(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+(((Inputs!$E$7*(1+Inputs!$E$8)^(6-1))*Inputs!$E$10))+(((((((Inputs!$E$3*(1+Inputs!$E$4)^(6-1))*Inputs!$E$5)*Inputs!$E$6)+((Inputs!$E$7*(1+Inputs!$E$8)^(6-1))*Inputs!$E$9)+(Inputs!$E$11*(1+Inputs!$E$12)^(6-1))+(IF(6&lt;Inputs!$E$13,0,Inputs!$E$14*(1+Inputs!$E$15)^(6-Inputs!$E$13)*Inputs!$E$16))))*Inputs!$E$29))+((Inputs!$E$19+Inputs!$E$20+Inputs!$E$21+(Inputs!$E$22*$C8)+Inputs!$E$23))+(IF(AND(Inputs!$E$24&gt;0,6=Inputs!$E$24),Inputs!$E$25,0))+(MAX((((((((Inputs!$E$3*(1+Inputs!$E$4)^(6-1))*Inputs!$E$5)*Inputs!$E$6)+((Inputs!$E$7*(1+Inputs!$E$8)^(6-1))*Inputs!$E$9)+(Inputs!$E$11*(1+Inputs!$E$12)^(6-1))+(IF(6&lt;Inputs!$E$13,0,Inputs!$E$14*(1+Inputs!$E$15)^(6-Inputs!$E$13)*Inputs!$E$16))))-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-(((Inputs!$E$7*(1+Inputs!$E$8)^(6-1))*Inputs!$E$10))-(((((((Inputs!$E$3*(1+Inputs!$E$4)^(6-1))*Inputs!$E$5)*Inputs!$E$6)+((Inputs!$E$7*(1+Inputs!$E$8)^(6-1))*Inputs!$E$9)+(Inputs!$E$11*(1+Inputs!$E$12)^(6-1))+(IF(6&lt;Inputs!$E$13,0,Inputs!$E$14*(1+Inputs!$E$15)^(6-Inputs!$E$13)*Inputs!$E$16))))*Inputs!$E$29))-((Inputs!$E$19+Inputs!$E$20+Inputs!$E$21+(Inputs!$E$22*$C8)+Inputs!$E$23))-(IF(AND(Inputs!$E$24&gt;0,6=Inputs!$E$24),Inputs!$E$25,0)))),0)*Inputs!$E$28))))+(IF(AND(Inputs!$E$17&gt;0,6=Inputs!$E$17),Inputs!$E$18,0))))</f>
        <v/>
      </c>
      <c r="M8" s="8">
        <f>L8+(((((((((Inputs!$E$3*(1+Inputs!$E$4)^(7-1))*Inputs!$E$5)*Inputs!$E$6)+((Inputs!$E$7*(1+Inputs!$E$8)^(7-1))*Inputs!$E$9)+(Inputs!$E$11*(1+Inputs!$E$12)^(7-1))+(IF(7&lt;Inputs!$E$13,0,Inputs!$E$14*(1+Inputs!$E$15)^(7-Inputs!$E$13)*Inputs!$E$16))))-(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+(((Inputs!$E$7*(1+Inputs!$E$8)^(7-1))*Inputs!$E$10))+(((((((Inputs!$E$3*(1+Inputs!$E$4)^(7-1))*Inputs!$E$5)*Inputs!$E$6)+((Inputs!$E$7*(1+Inputs!$E$8)^(7-1))*Inputs!$E$9)+(Inputs!$E$11*(1+Inputs!$E$12)^(7-1))+(IF(7&lt;Inputs!$E$13,0,Inputs!$E$14*(1+Inputs!$E$15)^(7-Inputs!$E$13)*Inputs!$E$16))))*Inputs!$E$29))+((Inputs!$E$19+Inputs!$E$20+Inputs!$E$21+(Inputs!$E$22*$C8)+Inputs!$E$23))+(IF(AND(Inputs!$E$24&gt;0,7=Inputs!$E$24),Inputs!$E$25,0))+(MAX((((((((Inputs!$E$3*(1+Inputs!$E$4)^(7-1))*Inputs!$E$5)*Inputs!$E$6)+((Inputs!$E$7*(1+Inputs!$E$8)^(7-1))*Inputs!$E$9)+(Inputs!$E$11*(1+Inputs!$E$12)^(7-1))+(IF(7&lt;Inputs!$E$13,0,Inputs!$E$14*(1+Inputs!$E$15)^(7-Inputs!$E$13)*Inputs!$E$16))))-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-(((Inputs!$E$7*(1+Inputs!$E$8)^(7-1))*Inputs!$E$10))-(((((((Inputs!$E$3*(1+Inputs!$E$4)^(7-1))*Inputs!$E$5)*Inputs!$E$6)+((Inputs!$E$7*(1+Inputs!$E$8)^(7-1))*Inputs!$E$9)+(Inputs!$E$11*(1+Inputs!$E$12)^(7-1))+(IF(7&lt;Inputs!$E$13,0,Inputs!$E$14*(1+Inputs!$E$15)^(7-Inputs!$E$13)*Inputs!$E$16))))*Inputs!$E$29))-((Inputs!$E$19+Inputs!$E$20+Inputs!$E$21+(Inputs!$E$22*$C8)+Inputs!$E$23))-(IF(AND(Inputs!$E$24&gt;0,7=Inputs!$E$24),Inputs!$E$25,0)))),0)*Inputs!$E$28))))+(IF(AND(Inputs!$E$17&gt;0,7=Inputs!$E$17),Inputs!$E$18,0))))</f>
        <v/>
      </c>
      <c r="N8" s="8">
        <f>M8+(((((((((Inputs!$E$3*(1+Inputs!$E$4)^(8-1))*Inputs!$E$5)*Inputs!$E$6)+((Inputs!$E$7*(1+Inputs!$E$8)^(8-1))*Inputs!$E$9)+(Inputs!$E$11*(1+Inputs!$E$12)^(8-1))+(IF(8&lt;Inputs!$E$13,0,Inputs!$E$14*(1+Inputs!$E$15)^(8-Inputs!$E$13)*Inputs!$E$16))))-(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+(((Inputs!$E$7*(1+Inputs!$E$8)^(8-1))*Inputs!$E$10))+(((((((Inputs!$E$3*(1+Inputs!$E$4)^(8-1))*Inputs!$E$5)*Inputs!$E$6)+((Inputs!$E$7*(1+Inputs!$E$8)^(8-1))*Inputs!$E$9)+(Inputs!$E$11*(1+Inputs!$E$12)^(8-1))+(IF(8&lt;Inputs!$E$13,0,Inputs!$E$14*(1+Inputs!$E$15)^(8-Inputs!$E$13)*Inputs!$E$16))))*Inputs!$E$29))+((Inputs!$E$19+Inputs!$E$20+Inputs!$E$21+(Inputs!$E$22*$C8)+Inputs!$E$23))+(IF(AND(Inputs!$E$24&gt;0,8=Inputs!$E$24),Inputs!$E$25,0))+(MAX((((((((Inputs!$E$3*(1+Inputs!$E$4)^(8-1))*Inputs!$E$5)*Inputs!$E$6)+((Inputs!$E$7*(1+Inputs!$E$8)^(8-1))*Inputs!$E$9)+(Inputs!$E$11*(1+Inputs!$E$12)^(8-1))+(IF(8&lt;Inputs!$E$13,0,Inputs!$E$14*(1+Inputs!$E$15)^(8-Inputs!$E$13)*Inputs!$E$16))))-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-(((Inputs!$E$7*(1+Inputs!$E$8)^(8-1))*Inputs!$E$10))-(((((((Inputs!$E$3*(1+Inputs!$E$4)^(8-1))*Inputs!$E$5)*Inputs!$E$6)+((Inputs!$E$7*(1+Inputs!$E$8)^(8-1))*Inputs!$E$9)+(Inputs!$E$11*(1+Inputs!$E$12)^(8-1))+(IF(8&lt;Inputs!$E$13,0,Inputs!$E$14*(1+Inputs!$E$15)^(8-Inputs!$E$13)*Inputs!$E$16))))*Inputs!$E$29))-((Inputs!$E$19+Inputs!$E$20+Inputs!$E$21+(Inputs!$E$22*$C8)+Inputs!$E$23))-(IF(AND(Inputs!$E$24&gt;0,8=Inputs!$E$24),Inputs!$E$25,0)))),0)*Inputs!$E$28))))+(IF(AND(Inputs!$E$17&gt;0,8=Inputs!$E$17),Inputs!$E$18,0))))</f>
        <v/>
      </c>
      <c r="O8" s="8">
        <f>N8+(((((((((Inputs!$E$3*(1+Inputs!$E$4)^(9-1))*Inputs!$E$5)*Inputs!$E$6)+((Inputs!$E$7*(1+Inputs!$E$8)^(9-1))*Inputs!$E$9)+(Inputs!$E$11*(1+Inputs!$E$12)^(9-1))+(IF(9&lt;Inputs!$E$13,0,Inputs!$E$14*(1+Inputs!$E$15)^(9-Inputs!$E$13)*Inputs!$E$16))))-(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+(((Inputs!$E$7*(1+Inputs!$E$8)^(9-1))*Inputs!$E$10))+(((((((Inputs!$E$3*(1+Inputs!$E$4)^(9-1))*Inputs!$E$5)*Inputs!$E$6)+((Inputs!$E$7*(1+Inputs!$E$8)^(9-1))*Inputs!$E$9)+(Inputs!$E$11*(1+Inputs!$E$12)^(9-1))+(IF(9&lt;Inputs!$E$13,0,Inputs!$E$14*(1+Inputs!$E$15)^(9-Inputs!$E$13)*Inputs!$E$16))))*Inputs!$E$29))+((Inputs!$E$19+Inputs!$E$20+Inputs!$E$21+(Inputs!$E$22*$C8)+Inputs!$E$23))+(IF(AND(Inputs!$E$24&gt;0,9=Inputs!$E$24),Inputs!$E$25,0))+(MAX((((((((Inputs!$E$3*(1+Inputs!$E$4)^(9-1))*Inputs!$E$5)*Inputs!$E$6)+((Inputs!$E$7*(1+Inputs!$E$8)^(9-1))*Inputs!$E$9)+(Inputs!$E$11*(1+Inputs!$E$12)^(9-1))+(IF(9&lt;Inputs!$E$13,0,Inputs!$E$14*(1+Inputs!$E$15)^(9-Inputs!$E$13)*Inputs!$E$16))))-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-(((Inputs!$E$7*(1+Inputs!$E$8)^(9-1))*Inputs!$E$10))-(((((((Inputs!$E$3*(1+Inputs!$E$4)^(9-1))*Inputs!$E$5)*Inputs!$E$6)+((Inputs!$E$7*(1+Inputs!$E$8)^(9-1))*Inputs!$E$9)+(Inputs!$E$11*(1+Inputs!$E$12)^(9-1))+(IF(9&lt;Inputs!$E$13,0,Inputs!$E$14*(1+Inputs!$E$15)^(9-Inputs!$E$13)*Inputs!$E$16))))*Inputs!$E$29))-((Inputs!$E$19+Inputs!$E$20+Inputs!$E$21+(Inputs!$E$22*$C8)+Inputs!$E$23))-(IF(AND(Inputs!$E$24&gt;0,9=Inputs!$E$24),Inputs!$E$25,0)))),0)*Inputs!$E$28))))+(IF(AND(Inputs!$E$17&gt;0,9=Inputs!$E$17),Inputs!$E$18,0))))</f>
        <v/>
      </c>
      <c r="P8" s="8">
        <f>O8+(((((((((Inputs!$E$3*(1+Inputs!$E$4)^(10-1))*Inputs!$E$5)*Inputs!$E$6)+((Inputs!$E$7*(1+Inputs!$E$8)^(10-1))*Inputs!$E$9)+(Inputs!$E$11*(1+Inputs!$E$12)^(10-1))+(IF(10&lt;Inputs!$E$13,0,Inputs!$E$14*(1+Inputs!$E$15)^(10-Inputs!$E$13)*Inputs!$E$16))))-(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+(((Inputs!$E$7*(1+Inputs!$E$8)^(10-1))*Inputs!$E$10))+(((((((Inputs!$E$3*(1+Inputs!$E$4)^(10-1))*Inputs!$E$5)*Inputs!$E$6)+((Inputs!$E$7*(1+Inputs!$E$8)^(10-1))*Inputs!$E$9)+(Inputs!$E$11*(1+Inputs!$E$12)^(10-1))+(IF(10&lt;Inputs!$E$13,0,Inputs!$E$14*(1+Inputs!$E$15)^(10-Inputs!$E$13)*Inputs!$E$16))))*Inputs!$E$29))+((Inputs!$E$19+Inputs!$E$20+Inputs!$E$21+(Inputs!$E$22*$C8)+Inputs!$E$23))+(IF(AND(Inputs!$E$24&gt;0,10=Inputs!$E$24),Inputs!$E$25,0))+(MAX((((((((Inputs!$E$3*(1+Inputs!$E$4)^(10-1))*Inputs!$E$5)*Inputs!$E$6)+((Inputs!$E$7*(1+Inputs!$E$8)^(10-1))*Inputs!$E$9)+(Inputs!$E$11*(1+Inputs!$E$12)^(10-1))+(IF(10&lt;Inputs!$E$13,0,Inputs!$E$14*(1+Inputs!$E$15)^(10-Inputs!$E$13)*Inputs!$E$16))))-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-(((Inputs!$E$7*(1+Inputs!$E$8)^(10-1))*Inputs!$E$10))-(((((((Inputs!$E$3*(1+Inputs!$E$4)^(10-1))*Inputs!$E$5)*Inputs!$E$6)+((Inputs!$E$7*(1+Inputs!$E$8)^(10-1))*Inputs!$E$9)+(Inputs!$E$11*(1+Inputs!$E$12)^(10-1))+(IF(10&lt;Inputs!$E$13,0,Inputs!$E$14*(1+Inputs!$E$15)^(10-Inputs!$E$13)*Inputs!$E$16))))*Inputs!$E$29))-((Inputs!$E$19+Inputs!$E$20+Inputs!$E$21+(Inputs!$E$22*$C8)+Inputs!$E$23))-(IF(AND(Inputs!$E$24&gt;0,10=Inputs!$E$24),Inputs!$E$25,0)))),0)*Inputs!$E$28))))+(IF(AND(Inputs!$E$17&gt;0,10=Inputs!$E$17),Inputs!$E$18,0))))</f>
        <v/>
      </c>
      <c r="Q8" s="8">
        <f>P8+(((((((((Inputs!$E$3*(1+Inputs!$E$4)^(11-1))*Inputs!$E$5)*Inputs!$E$6)+((Inputs!$E$7*(1+Inputs!$E$8)^(11-1))*Inputs!$E$9)+(Inputs!$E$11*(1+Inputs!$E$12)^(11-1))+(IF(11&lt;Inputs!$E$13,0,Inputs!$E$14*(1+Inputs!$E$15)^(11-Inputs!$E$13)*Inputs!$E$16))))-(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+(((Inputs!$E$7*(1+Inputs!$E$8)^(11-1))*Inputs!$E$10))+(((((((Inputs!$E$3*(1+Inputs!$E$4)^(11-1))*Inputs!$E$5)*Inputs!$E$6)+((Inputs!$E$7*(1+Inputs!$E$8)^(11-1))*Inputs!$E$9)+(Inputs!$E$11*(1+Inputs!$E$12)^(11-1))+(IF(11&lt;Inputs!$E$13,0,Inputs!$E$14*(1+Inputs!$E$15)^(11-Inputs!$E$13)*Inputs!$E$16))))*Inputs!$E$29))+((Inputs!$E$19+Inputs!$E$20+Inputs!$E$21+(Inputs!$E$22*$C8)+Inputs!$E$23))+(IF(AND(Inputs!$E$24&gt;0,11=Inputs!$E$24),Inputs!$E$25,0))+(MAX((((((((Inputs!$E$3*(1+Inputs!$E$4)^(11-1))*Inputs!$E$5)*Inputs!$E$6)+((Inputs!$E$7*(1+Inputs!$E$8)^(11-1))*Inputs!$E$9)+(Inputs!$E$11*(1+Inputs!$E$12)^(11-1))+(IF(11&lt;Inputs!$E$13,0,Inputs!$E$14*(1+Inputs!$E$15)^(11-Inputs!$E$13)*Inputs!$E$16))))-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-(((Inputs!$E$7*(1+Inputs!$E$8)^(11-1))*Inputs!$E$10))-(((((((Inputs!$E$3*(1+Inputs!$E$4)^(11-1))*Inputs!$E$5)*Inputs!$E$6)+((Inputs!$E$7*(1+Inputs!$E$8)^(11-1))*Inputs!$E$9)+(Inputs!$E$11*(1+Inputs!$E$12)^(11-1))+(IF(11&lt;Inputs!$E$13,0,Inputs!$E$14*(1+Inputs!$E$15)^(11-Inputs!$E$13)*Inputs!$E$16))))*Inputs!$E$29))-((Inputs!$E$19+Inputs!$E$20+Inputs!$E$21+(Inputs!$E$22*$C8)+Inputs!$E$23))-(IF(AND(Inputs!$E$24&gt;0,11=Inputs!$E$24),Inputs!$E$25,0)))),0)*Inputs!$E$28))))+(IF(AND(Inputs!$E$17&gt;0,11=Inputs!$E$17),Inputs!$E$18,0))))</f>
        <v/>
      </c>
      <c r="R8" s="8">
        <f>Q8+(((((((((Inputs!$E$3*(1+Inputs!$E$4)^(12-1))*Inputs!$E$5)*Inputs!$E$6)+((Inputs!$E$7*(1+Inputs!$E$8)^(12-1))*Inputs!$E$9)+(Inputs!$E$11*(1+Inputs!$E$12)^(12-1))+(IF(12&lt;Inputs!$E$13,0,Inputs!$E$14*(1+Inputs!$E$15)^(12-Inputs!$E$13)*Inputs!$E$16))))-(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+(((Inputs!$E$7*(1+Inputs!$E$8)^(12-1))*Inputs!$E$10))+(((((((Inputs!$E$3*(1+Inputs!$E$4)^(12-1))*Inputs!$E$5)*Inputs!$E$6)+((Inputs!$E$7*(1+Inputs!$E$8)^(12-1))*Inputs!$E$9)+(Inputs!$E$11*(1+Inputs!$E$12)^(12-1))+(IF(12&lt;Inputs!$E$13,0,Inputs!$E$14*(1+Inputs!$E$15)^(12-Inputs!$E$13)*Inputs!$E$16))))*Inputs!$E$29))+((Inputs!$E$19+Inputs!$E$20+Inputs!$E$21+(Inputs!$E$22*$C8)+Inputs!$E$23))+(IF(AND(Inputs!$E$24&gt;0,12=Inputs!$E$24),Inputs!$E$25,0))+(MAX((((((((Inputs!$E$3*(1+Inputs!$E$4)^(12-1))*Inputs!$E$5)*Inputs!$E$6)+((Inputs!$E$7*(1+Inputs!$E$8)^(12-1))*Inputs!$E$9)+(Inputs!$E$11*(1+Inputs!$E$12)^(12-1))+(IF(12&lt;Inputs!$E$13,0,Inputs!$E$14*(1+Inputs!$E$15)^(12-Inputs!$E$13)*Inputs!$E$16))))-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-(((Inputs!$E$7*(1+Inputs!$E$8)^(12-1))*Inputs!$E$10))-(((((((Inputs!$E$3*(1+Inputs!$E$4)^(12-1))*Inputs!$E$5)*Inputs!$E$6)+((Inputs!$E$7*(1+Inputs!$E$8)^(12-1))*Inputs!$E$9)+(Inputs!$E$11*(1+Inputs!$E$12)^(12-1))+(IF(12&lt;Inputs!$E$13,0,Inputs!$E$14*(1+Inputs!$E$15)^(12-Inputs!$E$13)*Inputs!$E$16))))*Inputs!$E$29))-((Inputs!$E$19+Inputs!$E$20+Inputs!$E$21+(Inputs!$E$22*$C8)+Inputs!$E$23))-(IF(AND(Inputs!$E$24&gt;0,12=Inputs!$E$24),Inputs!$E$25,0)))),0)*Inputs!$E$28))))+(IF(AND(Inputs!$E$17&gt;0,12=Inputs!$E$17),Inputs!$E$18,0))))</f>
        <v/>
      </c>
      <c r="S8" s="8">
        <f>R8+(((((((((Inputs!$E$3*(1+Inputs!$E$4)^(13-1))*Inputs!$E$5)*Inputs!$E$6)+((Inputs!$E$7*(1+Inputs!$E$8)^(13-1))*Inputs!$E$9)+(Inputs!$E$11*(1+Inputs!$E$12)^(13-1))+(IF(13&lt;Inputs!$E$13,0,Inputs!$E$14*(1+Inputs!$E$15)^(13-Inputs!$E$13)*Inputs!$E$16))))-(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+(((Inputs!$E$7*(1+Inputs!$E$8)^(13-1))*Inputs!$E$10))+(((((((Inputs!$E$3*(1+Inputs!$E$4)^(13-1))*Inputs!$E$5)*Inputs!$E$6)+((Inputs!$E$7*(1+Inputs!$E$8)^(13-1))*Inputs!$E$9)+(Inputs!$E$11*(1+Inputs!$E$12)^(13-1))+(IF(13&lt;Inputs!$E$13,0,Inputs!$E$14*(1+Inputs!$E$15)^(13-Inputs!$E$13)*Inputs!$E$16))))*Inputs!$E$29))+((Inputs!$E$19+Inputs!$E$20+Inputs!$E$21+(Inputs!$E$22*$C8)+Inputs!$E$23))+(IF(AND(Inputs!$E$24&gt;0,13=Inputs!$E$24),Inputs!$E$25,0))+(MAX((((((((Inputs!$E$3*(1+Inputs!$E$4)^(13-1))*Inputs!$E$5)*Inputs!$E$6)+((Inputs!$E$7*(1+Inputs!$E$8)^(13-1))*Inputs!$E$9)+(Inputs!$E$11*(1+Inputs!$E$12)^(13-1))+(IF(13&lt;Inputs!$E$13,0,Inputs!$E$14*(1+Inputs!$E$15)^(13-Inputs!$E$13)*Inputs!$E$16))))-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-(((Inputs!$E$7*(1+Inputs!$E$8)^(13-1))*Inputs!$E$10))-(((((((Inputs!$E$3*(1+Inputs!$E$4)^(13-1))*Inputs!$E$5)*Inputs!$E$6)+((Inputs!$E$7*(1+Inputs!$E$8)^(13-1))*Inputs!$E$9)+(Inputs!$E$11*(1+Inputs!$E$12)^(13-1))+(IF(13&lt;Inputs!$E$13,0,Inputs!$E$14*(1+Inputs!$E$15)^(13-Inputs!$E$13)*Inputs!$E$16))))*Inputs!$E$29))-((Inputs!$E$19+Inputs!$E$20+Inputs!$E$21+(Inputs!$E$22*$C8)+Inputs!$E$23))-(IF(AND(Inputs!$E$24&gt;0,13=Inputs!$E$24),Inputs!$E$25,0)))),0)*Inputs!$E$28))))+(IF(AND(Inputs!$E$17&gt;0,13=Inputs!$E$17),Inputs!$E$18,0))))</f>
        <v/>
      </c>
      <c r="T8" s="8">
        <f>S8+(((((((((Inputs!$E$3*(1+Inputs!$E$4)^(14-1))*Inputs!$E$5)*Inputs!$E$6)+((Inputs!$E$7*(1+Inputs!$E$8)^(14-1))*Inputs!$E$9)+(Inputs!$E$11*(1+Inputs!$E$12)^(14-1))+(IF(14&lt;Inputs!$E$13,0,Inputs!$E$14*(1+Inputs!$E$15)^(14-Inputs!$E$13)*Inputs!$E$16))))-(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+(((Inputs!$E$7*(1+Inputs!$E$8)^(14-1))*Inputs!$E$10))+(((((((Inputs!$E$3*(1+Inputs!$E$4)^(14-1))*Inputs!$E$5)*Inputs!$E$6)+((Inputs!$E$7*(1+Inputs!$E$8)^(14-1))*Inputs!$E$9)+(Inputs!$E$11*(1+Inputs!$E$12)^(14-1))+(IF(14&lt;Inputs!$E$13,0,Inputs!$E$14*(1+Inputs!$E$15)^(14-Inputs!$E$13)*Inputs!$E$16))))*Inputs!$E$29))+((Inputs!$E$19+Inputs!$E$20+Inputs!$E$21+(Inputs!$E$22*$C8)+Inputs!$E$23))+(IF(AND(Inputs!$E$24&gt;0,14=Inputs!$E$24),Inputs!$E$25,0))+(MAX((((((((Inputs!$E$3*(1+Inputs!$E$4)^(14-1))*Inputs!$E$5)*Inputs!$E$6)+((Inputs!$E$7*(1+Inputs!$E$8)^(14-1))*Inputs!$E$9)+(Inputs!$E$11*(1+Inputs!$E$12)^(14-1))+(IF(14&lt;Inputs!$E$13,0,Inputs!$E$14*(1+Inputs!$E$15)^(14-Inputs!$E$13)*Inputs!$E$16))))-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-(((Inputs!$E$7*(1+Inputs!$E$8)^(14-1))*Inputs!$E$10))-(((((((Inputs!$E$3*(1+Inputs!$E$4)^(14-1))*Inputs!$E$5)*Inputs!$E$6)+((Inputs!$E$7*(1+Inputs!$E$8)^(14-1))*Inputs!$E$9)+(Inputs!$E$11*(1+Inputs!$E$12)^(14-1))+(IF(14&lt;Inputs!$E$13,0,Inputs!$E$14*(1+Inputs!$E$15)^(14-Inputs!$E$13)*Inputs!$E$16))))*Inputs!$E$29))-((Inputs!$E$19+Inputs!$E$20+Inputs!$E$21+(Inputs!$E$22*$C8)+Inputs!$E$23))-(IF(AND(Inputs!$E$24&gt;0,14=Inputs!$E$24),Inputs!$E$25,0)))),0)*Inputs!$E$28))))+(IF(AND(Inputs!$E$17&gt;0,14=Inputs!$E$17),Inputs!$E$18,0))))</f>
        <v/>
      </c>
      <c r="U8" s="8">
        <f>T8+(((((((((Inputs!$E$3*(1+Inputs!$E$4)^(15-1))*Inputs!$E$5)*Inputs!$E$6)+((Inputs!$E$7*(1+Inputs!$E$8)^(15-1))*Inputs!$E$9)+(Inputs!$E$11*(1+Inputs!$E$12)^(15-1))+(IF(15&lt;Inputs!$E$13,0,Inputs!$E$14*(1+Inputs!$E$15)^(15-Inputs!$E$13)*Inputs!$E$16))))-(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+(((Inputs!$E$7*(1+Inputs!$E$8)^(15-1))*Inputs!$E$10))+(((((((Inputs!$E$3*(1+Inputs!$E$4)^(15-1))*Inputs!$E$5)*Inputs!$E$6)+((Inputs!$E$7*(1+Inputs!$E$8)^(15-1))*Inputs!$E$9)+(Inputs!$E$11*(1+Inputs!$E$12)^(15-1))+(IF(15&lt;Inputs!$E$13,0,Inputs!$E$14*(1+Inputs!$E$15)^(15-Inputs!$E$13)*Inputs!$E$16))))*Inputs!$E$29))+((Inputs!$E$19+Inputs!$E$20+Inputs!$E$21+(Inputs!$E$22*$C8)+Inputs!$E$23))+(IF(AND(Inputs!$E$24&gt;0,15=Inputs!$E$24),Inputs!$E$25,0))+(MAX((((((((Inputs!$E$3*(1+Inputs!$E$4)^(15-1))*Inputs!$E$5)*Inputs!$E$6)+((Inputs!$E$7*(1+Inputs!$E$8)^(15-1))*Inputs!$E$9)+(Inputs!$E$11*(1+Inputs!$E$12)^(15-1))+(IF(15&lt;Inputs!$E$13,0,Inputs!$E$14*(1+Inputs!$E$15)^(15-Inputs!$E$13)*Inputs!$E$16))))-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-(((Inputs!$E$7*(1+Inputs!$E$8)^(15-1))*Inputs!$E$10))-(((((((Inputs!$E$3*(1+Inputs!$E$4)^(15-1))*Inputs!$E$5)*Inputs!$E$6)+((Inputs!$E$7*(1+Inputs!$E$8)^(15-1))*Inputs!$E$9)+(Inputs!$E$11*(1+Inputs!$E$12)^(15-1))+(IF(15&lt;Inputs!$E$13,0,Inputs!$E$14*(1+Inputs!$E$15)^(15-Inputs!$E$13)*Inputs!$E$16))))*Inputs!$E$29))-((Inputs!$E$19+Inputs!$E$20+Inputs!$E$21+(Inputs!$E$22*$C8)+Inputs!$E$23))-(IF(AND(Inputs!$E$24&gt;0,15=Inputs!$E$24),Inputs!$E$25,0)))),0)*Inputs!$E$28))))+(IF(AND(Inputs!$E$17&gt;0,15=Inputs!$E$17),Inputs!$E$18,0))))</f>
        <v/>
      </c>
      <c r="V8" s="8">
        <f>U8+(((((((((Inputs!$E$3*(1+Inputs!$E$4)^(16-1))*Inputs!$E$5)*Inputs!$E$6)+((Inputs!$E$7*(1+Inputs!$E$8)^(16-1))*Inputs!$E$9)+(Inputs!$E$11*(1+Inputs!$E$12)^(16-1))+(IF(16&lt;Inputs!$E$13,0,Inputs!$E$14*(1+Inputs!$E$15)^(16-Inputs!$E$13)*Inputs!$E$16))))-(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+(((Inputs!$E$7*(1+Inputs!$E$8)^(16-1))*Inputs!$E$10))+(((((((Inputs!$E$3*(1+Inputs!$E$4)^(16-1))*Inputs!$E$5)*Inputs!$E$6)+((Inputs!$E$7*(1+Inputs!$E$8)^(16-1))*Inputs!$E$9)+(Inputs!$E$11*(1+Inputs!$E$12)^(16-1))+(IF(16&lt;Inputs!$E$13,0,Inputs!$E$14*(1+Inputs!$E$15)^(16-Inputs!$E$13)*Inputs!$E$16))))*Inputs!$E$29))+((Inputs!$E$19+Inputs!$E$20+Inputs!$E$21+(Inputs!$E$22*$C8)+Inputs!$E$23))+(IF(AND(Inputs!$E$24&gt;0,16=Inputs!$E$24),Inputs!$E$25,0))+(MAX((((((((Inputs!$E$3*(1+Inputs!$E$4)^(16-1))*Inputs!$E$5)*Inputs!$E$6)+((Inputs!$E$7*(1+Inputs!$E$8)^(16-1))*Inputs!$E$9)+(Inputs!$E$11*(1+Inputs!$E$12)^(16-1))+(IF(16&lt;Inputs!$E$13,0,Inputs!$E$14*(1+Inputs!$E$15)^(16-Inputs!$E$13)*Inputs!$E$16))))-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-(((Inputs!$E$7*(1+Inputs!$E$8)^(16-1))*Inputs!$E$10))-(((((((Inputs!$E$3*(1+Inputs!$E$4)^(16-1))*Inputs!$E$5)*Inputs!$E$6)+((Inputs!$E$7*(1+Inputs!$E$8)^(16-1))*Inputs!$E$9)+(Inputs!$E$11*(1+Inputs!$E$12)^(16-1))+(IF(16&lt;Inputs!$E$13,0,Inputs!$E$14*(1+Inputs!$E$15)^(16-Inputs!$E$13)*Inputs!$E$16))))*Inputs!$E$29))-((Inputs!$E$19+Inputs!$E$20+Inputs!$E$21+(Inputs!$E$22*$C8)+Inputs!$E$23))-(IF(AND(Inputs!$E$24&gt;0,16=Inputs!$E$24),Inputs!$E$25,0)))),0)*Inputs!$E$28))))+(IF(AND(Inputs!$E$17&gt;0,16=Inputs!$E$17),Inputs!$E$18,0))))</f>
        <v/>
      </c>
      <c r="W8" s="8">
        <f>V8+(((((((((Inputs!$E$3*(1+Inputs!$E$4)^(17-1))*Inputs!$E$5)*Inputs!$E$6)+((Inputs!$E$7*(1+Inputs!$E$8)^(17-1))*Inputs!$E$9)+(Inputs!$E$11*(1+Inputs!$E$12)^(17-1))+(IF(17&lt;Inputs!$E$13,0,Inputs!$E$14*(1+Inputs!$E$15)^(17-Inputs!$E$13)*Inputs!$E$16))))-(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+(((Inputs!$E$7*(1+Inputs!$E$8)^(17-1))*Inputs!$E$10))+(((((((Inputs!$E$3*(1+Inputs!$E$4)^(17-1))*Inputs!$E$5)*Inputs!$E$6)+((Inputs!$E$7*(1+Inputs!$E$8)^(17-1))*Inputs!$E$9)+(Inputs!$E$11*(1+Inputs!$E$12)^(17-1))+(IF(17&lt;Inputs!$E$13,0,Inputs!$E$14*(1+Inputs!$E$15)^(17-Inputs!$E$13)*Inputs!$E$16))))*Inputs!$E$29))+((Inputs!$E$19+Inputs!$E$20+Inputs!$E$21+(Inputs!$E$22*$C8)+Inputs!$E$23))+(IF(AND(Inputs!$E$24&gt;0,17=Inputs!$E$24),Inputs!$E$25,0))+(MAX((((((((Inputs!$E$3*(1+Inputs!$E$4)^(17-1))*Inputs!$E$5)*Inputs!$E$6)+((Inputs!$E$7*(1+Inputs!$E$8)^(17-1))*Inputs!$E$9)+(Inputs!$E$11*(1+Inputs!$E$12)^(17-1))+(IF(17&lt;Inputs!$E$13,0,Inputs!$E$14*(1+Inputs!$E$15)^(17-Inputs!$E$13)*Inputs!$E$16))))-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-(((Inputs!$E$7*(1+Inputs!$E$8)^(17-1))*Inputs!$E$10))-(((((((Inputs!$E$3*(1+Inputs!$E$4)^(17-1))*Inputs!$E$5)*Inputs!$E$6)+((Inputs!$E$7*(1+Inputs!$E$8)^(17-1))*Inputs!$E$9)+(Inputs!$E$11*(1+Inputs!$E$12)^(17-1))+(IF(17&lt;Inputs!$E$13,0,Inputs!$E$14*(1+Inputs!$E$15)^(17-Inputs!$E$13)*Inputs!$E$16))))*Inputs!$E$29))-((Inputs!$E$19+Inputs!$E$20+Inputs!$E$21+(Inputs!$E$22*$C8)+Inputs!$E$23))-(IF(AND(Inputs!$E$24&gt;0,17=Inputs!$E$24),Inputs!$E$25,0)))),0)*Inputs!$E$28))))+(IF(AND(Inputs!$E$17&gt;0,17=Inputs!$E$17),Inputs!$E$18,0))))</f>
        <v/>
      </c>
      <c r="X8" s="8">
        <f>W8+(((((((((Inputs!$E$3*(1+Inputs!$E$4)^(18-1))*Inputs!$E$5)*Inputs!$E$6)+((Inputs!$E$7*(1+Inputs!$E$8)^(18-1))*Inputs!$E$9)+(Inputs!$E$11*(1+Inputs!$E$12)^(18-1))+(IF(18&lt;Inputs!$E$13,0,Inputs!$E$14*(1+Inputs!$E$15)^(18-Inputs!$E$13)*Inputs!$E$16))))-(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+(((Inputs!$E$7*(1+Inputs!$E$8)^(18-1))*Inputs!$E$10))+(((((((Inputs!$E$3*(1+Inputs!$E$4)^(18-1))*Inputs!$E$5)*Inputs!$E$6)+((Inputs!$E$7*(1+Inputs!$E$8)^(18-1))*Inputs!$E$9)+(Inputs!$E$11*(1+Inputs!$E$12)^(18-1))+(IF(18&lt;Inputs!$E$13,0,Inputs!$E$14*(1+Inputs!$E$15)^(18-Inputs!$E$13)*Inputs!$E$16))))*Inputs!$E$29))+((Inputs!$E$19+Inputs!$E$20+Inputs!$E$21+(Inputs!$E$22*$C8)+Inputs!$E$23))+(IF(AND(Inputs!$E$24&gt;0,18=Inputs!$E$24),Inputs!$E$25,0))+(MAX((((((((Inputs!$E$3*(1+Inputs!$E$4)^(18-1))*Inputs!$E$5)*Inputs!$E$6)+((Inputs!$E$7*(1+Inputs!$E$8)^(18-1))*Inputs!$E$9)+(Inputs!$E$11*(1+Inputs!$E$12)^(18-1))+(IF(18&lt;Inputs!$E$13,0,Inputs!$E$14*(1+Inputs!$E$15)^(18-Inputs!$E$13)*Inputs!$E$16))))-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-(((Inputs!$E$7*(1+Inputs!$E$8)^(18-1))*Inputs!$E$10))-(((((((Inputs!$E$3*(1+Inputs!$E$4)^(18-1))*Inputs!$E$5)*Inputs!$E$6)+((Inputs!$E$7*(1+Inputs!$E$8)^(18-1))*Inputs!$E$9)+(Inputs!$E$11*(1+Inputs!$E$12)^(18-1))+(IF(18&lt;Inputs!$E$13,0,Inputs!$E$14*(1+Inputs!$E$15)^(18-Inputs!$E$13)*Inputs!$E$16))))*Inputs!$E$29))-((Inputs!$E$19+Inputs!$E$20+Inputs!$E$21+(Inputs!$E$22*$C8)+Inputs!$E$23))-(IF(AND(Inputs!$E$24&gt;0,18=Inputs!$E$24),Inputs!$E$25,0)))),0)*Inputs!$E$28))))+(IF(AND(Inputs!$E$17&gt;0,18=Inputs!$E$17),Inputs!$E$18,0))))</f>
        <v/>
      </c>
      <c r="Y8" s="8">
        <f>X8+(((((((((Inputs!$E$3*(1+Inputs!$E$4)^(19-1))*Inputs!$E$5)*Inputs!$E$6)+((Inputs!$E$7*(1+Inputs!$E$8)^(19-1))*Inputs!$E$9)+(Inputs!$E$11*(1+Inputs!$E$12)^(19-1))+(IF(19&lt;Inputs!$E$13,0,Inputs!$E$14*(1+Inputs!$E$15)^(19-Inputs!$E$13)*Inputs!$E$16))))-(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+(((Inputs!$E$7*(1+Inputs!$E$8)^(19-1))*Inputs!$E$10))+(((((((Inputs!$E$3*(1+Inputs!$E$4)^(19-1))*Inputs!$E$5)*Inputs!$E$6)+((Inputs!$E$7*(1+Inputs!$E$8)^(19-1))*Inputs!$E$9)+(Inputs!$E$11*(1+Inputs!$E$12)^(19-1))+(IF(19&lt;Inputs!$E$13,0,Inputs!$E$14*(1+Inputs!$E$15)^(19-Inputs!$E$13)*Inputs!$E$16))))*Inputs!$E$29))+((Inputs!$E$19+Inputs!$E$20+Inputs!$E$21+(Inputs!$E$22*$C8)+Inputs!$E$23))+(IF(AND(Inputs!$E$24&gt;0,19=Inputs!$E$24),Inputs!$E$25,0))+(MAX((((((((Inputs!$E$3*(1+Inputs!$E$4)^(19-1))*Inputs!$E$5)*Inputs!$E$6)+((Inputs!$E$7*(1+Inputs!$E$8)^(19-1))*Inputs!$E$9)+(Inputs!$E$11*(1+Inputs!$E$12)^(19-1))+(IF(19&lt;Inputs!$E$13,0,Inputs!$E$14*(1+Inputs!$E$15)^(19-Inputs!$E$13)*Inputs!$E$16))))-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-(((Inputs!$E$7*(1+Inputs!$E$8)^(19-1))*Inputs!$E$10))-(((((((Inputs!$E$3*(1+Inputs!$E$4)^(19-1))*Inputs!$E$5)*Inputs!$E$6)+((Inputs!$E$7*(1+Inputs!$E$8)^(19-1))*Inputs!$E$9)+(Inputs!$E$11*(1+Inputs!$E$12)^(19-1))+(IF(19&lt;Inputs!$E$13,0,Inputs!$E$14*(1+Inputs!$E$15)^(19-Inputs!$E$13)*Inputs!$E$16))))*Inputs!$E$29))-((Inputs!$E$19+Inputs!$E$20+Inputs!$E$21+(Inputs!$E$22*$C8)+Inputs!$E$23))-(IF(AND(Inputs!$E$24&gt;0,19=Inputs!$E$24),Inputs!$E$25,0)))),0)*Inputs!$E$28))))+(IF(AND(Inputs!$E$17&gt;0,19=Inputs!$E$17),Inputs!$E$18,0))))</f>
        <v/>
      </c>
      <c r="Z8" s="8">
        <f>Y8+(((((((((Inputs!$E$3*(1+Inputs!$E$4)^(20-1))*Inputs!$E$5)*Inputs!$E$6)+((Inputs!$E$7*(1+Inputs!$E$8)^(20-1))*Inputs!$E$9)+(Inputs!$E$11*(1+Inputs!$E$12)^(20-1))+(IF(20&lt;Inputs!$E$13,0,Inputs!$E$14*(1+Inputs!$E$15)^(20-Inputs!$E$13)*Inputs!$E$16))))-(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+(((Inputs!$E$7*(1+Inputs!$E$8)^(20-1))*Inputs!$E$10))+(((((((Inputs!$E$3*(1+Inputs!$E$4)^(20-1))*Inputs!$E$5)*Inputs!$E$6)+((Inputs!$E$7*(1+Inputs!$E$8)^(20-1))*Inputs!$E$9)+(Inputs!$E$11*(1+Inputs!$E$12)^(20-1))+(IF(20&lt;Inputs!$E$13,0,Inputs!$E$14*(1+Inputs!$E$15)^(20-Inputs!$E$13)*Inputs!$E$16))))*Inputs!$E$29))+((Inputs!$E$19+Inputs!$E$20+Inputs!$E$21+(Inputs!$E$22*$C8)+Inputs!$E$23))+(IF(AND(Inputs!$E$24&gt;0,20=Inputs!$E$24),Inputs!$E$25,0))+(MAX((((((((Inputs!$E$3*(1+Inputs!$E$4)^(20-1))*Inputs!$E$5)*Inputs!$E$6)+((Inputs!$E$7*(1+Inputs!$E$8)^(20-1))*Inputs!$E$9)+(Inputs!$E$11*(1+Inputs!$E$12)^(20-1))+(IF(20&lt;Inputs!$E$13,0,Inputs!$E$14*(1+Inputs!$E$15)^(20-Inputs!$E$13)*Inputs!$E$16))))-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-(((Inputs!$E$7*(1+Inputs!$E$8)^(20-1))*Inputs!$E$10))-(((((((Inputs!$E$3*(1+Inputs!$E$4)^(20-1))*Inputs!$E$5)*Inputs!$E$6)+((Inputs!$E$7*(1+Inputs!$E$8)^(20-1))*Inputs!$E$9)+(Inputs!$E$11*(1+Inputs!$E$12)^(20-1))+(IF(20&lt;Inputs!$E$13,0,Inputs!$E$14*(1+Inputs!$E$15)^(20-Inputs!$E$13)*Inputs!$E$16))))*Inputs!$E$29))-((Inputs!$E$19+Inputs!$E$20+Inputs!$E$21+(Inputs!$E$22*$C8)+Inputs!$E$23))-(IF(AND(Inputs!$E$24&gt;0,20=Inputs!$E$24),Inputs!$E$25,0)))),0)*Inputs!$E$28))))+(IF(AND(Inputs!$E$17&gt;0,20=Inputs!$E$17),Inputs!$E$18,0))))</f>
        <v/>
      </c>
      <c r="AA8" s="8">
        <f>Z8+(((((((((Inputs!$E$3*(1+Inputs!$E$4)^(21-1))*Inputs!$E$5)*Inputs!$E$6)+((Inputs!$E$7*(1+Inputs!$E$8)^(21-1))*Inputs!$E$9)+(Inputs!$E$11*(1+Inputs!$E$12)^(21-1))+(IF(21&lt;Inputs!$E$13,0,Inputs!$E$14*(1+Inputs!$E$15)^(21-Inputs!$E$13)*Inputs!$E$16))))-(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+(((Inputs!$E$7*(1+Inputs!$E$8)^(21-1))*Inputs!$E$10))+(((((((Inputs!$E$3*(1+Inputs!$E$4)^(21-1))*Inputs!$E$5)*Inputs!$E$6)+((Inputs!$E$7*(1+Inputs!$E$8)^(21-1))*Inputs!$E$9)+(Inputs!$E$11*(1+Inputs!$E$12)^(21-1))+(IF(21&lt;Inputs!$E$13,0,Inputs!$E$14*(1+Inputs!$E$15)^(21-Inputs!$E$13)*Inputs!$E$16))))*Inputs!$E$29))+((Inputs!$E$19+Inputs!$E$20+Inputs!$E$21+(Inputs!$E$22*$C8)+Inputs!$E$23))+(IF(AND(Inputs!$E$24&gt;0,21=Inputs!$E$24),Inputs!$E$25,0))+(MAX((((((((Inputs!$E$3*(1+Inputs!$E$4)^(21-1))*Inputs!$E$5)*Inputs!$E$6)+((Inputs!$E$7*(1+Inputs!$E$8)^(21-1))*Inputs!$E$9)+(Inputs!$E$11*(1+Inputs!$E$12)^(21-1))+(IF(21&lt;Inputs!$E$13,0,Inputs!$E$14*(1+Inputs!$E$15)^(21-Inputs!$E$13)*Inputs!$E$16))))-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-(((Inputs!$E$7*(1+Inputs!$E$8)^(21-1))*Inputs!$E$10))-(((((((Inputs!$E$3*(1+Inputs!$E$4)^(21-1))*Inputs!$E$5)*Inputs!$E$6)+((Inputs!$E$7*(1+Inputs!$E$8)^(21-1))*Inputs!$E$9)+(Inputs!$E$11*(1+Inputs!$E$12)^(21-1))+(IF(21&lt;Inputs!$E$13,0,Inputs!$E$14*(1+Inputs!$E$15)^(21-Inputs!$E$13)*Inputs!$E$16))))*Inputs!$E$29))-((Inputs!$E$19+Inputs!$E$20+Inputs!$E$21+(Inputs!$E$22*$C8)+Inputs!$E$23))-(IF(AND(Inputs!$E$24&gt;0,21=Inputs!$E$24),Inputs!$E$25,0)))),0)*Inputs!$E$28))))+(IF(AND(Inputs!$E$17&gt;0,21=Inputs!$E$17),Inputs!$E$18,0))))</f>
        <v/>
      </c>
      <c r="AB8" s="8">
        <f>AA8+(((((((((Inputs!$E$3*(1+Inputs!$E$4)^(22-1))*Inputs!$E$5)*Inputs!$E$6)+((Inputs!$E$7*(1+Inputs!$E$8)^(22-1))*Inputs!$E$9)+(Inputs!$E$11*(1+Inputs!$E$12)^(22-1))+(IF(22&lt;Inputs!$E$13,0,Inputs!$E$14*(1+Inputs!$E$15)^(22-Inputs!$E$13)*Inputs!$E$16))))-(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+(((Inputs!$E$7*(1+Inputs!$E$8)^(22-1))*Inputs!$E$10))+(((((((Inputs!$E$3*(1+Inputs!$E$4)^(22-1))*Inputs!$E$5)*Inputs!$E$6)+((Inputs!$E$7*(1+Inputs!$E$8)^(22-1))*Inputs!$E$9)+(Inputs!$E$11*(1+Inputs!$E$12)^(22-1))+(IF(22&lt;Inputs!$E$13,0,Inputs!$E$14*(1+Inputs!$E$15)^(22-Inputs!$E$13)*Inputs!$E$16))))*Inputs!$E$29))+((Inputs!$E$19+Inputs!$E$20+Inputs!$E$21+(Inputs!$E$22*$C8)+Inputs!$E$23))+(IF(AND(Inputs!$E$24&gt;0,22=Inputs!$E$24),Inputs!$E$25,0))+(MAX((((((((Inputs!$E$3*(1+Inputs!$E$4)^(22-1))*Inputs!$E$5)*Inputs!$E$6)+((Inputs!$E$7*(1+Inputs!$E$8)^(22-1))*Inputs!$E$9)+(Inputs!$E$11*(1+Inputs!$E$12)^(22-1))+(IF(22&lt;Inputs!$E$13,0,Inputs!$E$14*(1+Inputs!$E$15)^(22-Inputs!$E$13)*Inputs!$E$16))))-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-(((Inputs!$E$7*(1+Inputs!$E$8)^(22-1))*Inputs!$E$10))-(((((((Inputs!$E$3*(1+Inputs!$E$4)^(22-1))*Inputs!$E$5)*Inputs!$E$6)+((Inputs!$E$7*(1+Inputs!$E$8)^(22-1))*Inputs!$E$9)+(Inputs!$E$11*(1+Inputs!$E$12)^(22-1))+(IF(22&lt;Inputs!$E$13,0,Inputs!$E$14*(1+Inputs!$E$15)^(22-Inputs!$E$13)*Inputs!$E$16))))*Inputs!$E$29))-((Inputs!$E$19+Inputs!$E$20+Inputs!$E$21+(Inputs!$E$22*$C8)+Inputs!$E$23))-(IF(AND(Inputs!$E$24&gt;0,22=Inputs!$E$24),Inputs!$E$25,0)))),0)*Inputs!$E$28))))+(IF(AND(Inputs!$E$17&gt;0,22=Inputs!$E$17),Inputs!$E$18,0))))</f>
        <v/>
      </c>
      <c r="AC8" s="8">
        <f>AB8+(((((((((Inputs!$E$3*(1+Inputs!$E$4)^(23-1))*Inputs!$E$5)*Inputs!$E$6)+((Inputs!$E$7*(1+Inputs!$E$8)^(23-1))*Inputs!$E$9)+(Inputs!$E$11*(1+Inputs!$E$12)^(23-1))+(IF(23&lt;Inputs!$E$13,0,Inputs!$E$14*(1+Inputs!$E$15)^(23-Inputs!$E$13)*Inputs!$E$16))))-(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+(((Inputs!$E$7*(1+Inputs!$E$8)^(23-1))*Inputs!$E$10))+(((((((Inputs!$E$3*(1+Inputs!$E$4)^(23-1))*Inputs!$E$5)*Inputs!$E$6)+((Inputs!$E$7*(1+Inputs!$E$8)^(23-1))*Inputs!$E$9)+(Inputs!$E$11*(1+Inputs!$E$12)^(23-1))+(IF(23&lt;Inputs!$E$13,0,Inputs!$E$14*(1+Inputs!$E$15)^(23-Inputs!$E$13)*Inputs!$E$16))))*Inputs!$E$29))+((Inputs!$E$19+Inputs!$E$20+Inputs!$E$21+(Inputs!$E$22*$C8)+Inputs!$E$23))+(IF(AND(Inputs!$E$24&gt;0,23=Inputs!$E$24),Inputs!$E$25,0))+(MAX((((((((Inputs!$E$3*(1+Inputs!$E$4)^(23-1))*Inputs!$E$5)*Inputs!$E$6)+((Inputs!$E$7*(1+Inputs!$E$8)^(23-1))*Inputs!$E$9)+(Inputs!$E$11*(1+Inputs!$E$12)^(23-1))+(IF(23&lt;Inputs!$E$13,0,Inputs!$E$14*(1+Inputs!$E$15)^(23-Inputs!$E$13)*Inputs!$E$16))))-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-(((Inputs!$E$7*(1+Inputs!$E$8)^(23-1))*Inputs!$E$10))-(((((((Inputs!$E$3*(1+Inputs!$E$4)^(23-1))*Inputs!$E$5)*Inputs!$E$6)+((Inputs!$E$7*(1+Inputs!$E$8)^(23-1))*Inputs!$E$9)+(Inputs!$E$11*(1+Inputs!$E$12)^(23-1))+(IF(23&lt;Inputs!$E$13,0,Inputs!$E$14*(1+Inputs!$E$15)^(23-Inputs!$E$13)*Inputs!$E$16))))*Inputs!$E$29))-((Inputs!$E$19+Inputs!$E$20+Inputs!$E$21+(Inputs!$E$22*$C8)+Inputs!$E$23))-(IF(AND(Inputs!$E$24&gt;0,23=Inputs!$E$24),Inputs!$E$25,0)))),0)*Inputs!$E$28))))+(IF(AND(Inputs!$E$17&gt;0,23=Inputs!$E$17),Inputs!$E$18,0))))</f>
        <v/>
      </c>
      <c r="AD8" s="8">
        <f>AC8+(((((((((Inputs!$E$3*(1+Inputs!$E$4)^(24-1))*Inputs!$E$5)*Inputs!$E$6)+((Inputs!$E$7*(1+Inputs!$E$8)^(24-1))*Inputs!$E$9)+(Inputs!$E$11*(1+Inputs!$E$12)^(24-1))+(IF(24&lt;Inputs!$E$13,0,Inputs!$E$14*(1+Inputs!$E$15)^(24-Inputs!$E$13)*Inputs!$E$16))))-(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+(((Inputs!$E$7*(1+Inputs!$E$8)^(24-1))*Inputs!$E$10))+(((((((Inputs!$E$3*(1+Inputs!$E$4)^(24-1))*Inputs!$E$5)*Inputs!$E$6)+((Inputs!$E$7*(1+Inputs!$E$8)^(24-1))*Inputs!$E$9)+(Inputs!$E$11*(1+Inputs!$E$12)^(24-1))+(IF(24&lt;Inputs!$E$13,0,Inputs!$E$14*(1+Inputs!$E$15)^(24-Inputs!$E$13)*Inputs!$E$16))))*Inputs!$E$29))+((Inputs!$E$19+Inputs!$E$20+Inputs!$E$21+(Inputs!$E$22*$C8)+Inputs!$E$23))+(IF(AND(Inputs!$E$24&gt;0,24=Inputs!$E$24),Inputs!$E$25,0))+(MAX((((((((Inputs!$E$3*(1+Inputs!$E$4)^(24-1))*Inputs!$E$5)*Inputs!$E$6)+((Inputs!$E$7*(1+Inputs!$E$8)^(24-1))*Inputs!$E$9)+(Inputs!$E$11*(1+Inputs!$E$12)^(24-1))+(IF(24&lt;Inputs!$E$13,0,Inputs!$E$14*(1+Inputs!$E$15)^(24-Inputs!$E$13)*Inputs!$E$16))))-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-(((Inputs!$E$7*(1+Inputs!$E$8)^(24-1))*Inputs!$E$10))-(((((((Inputs!$E$3*(1+Inputs!$E$4)^(24-1))*Inputs!$E$5)*Inputs!$E$6)+((Inputs!$E$7*(1+Inputs!$E$8)^(24-1))*Inputs!$E$9)+(Inputs!$E$11*(1+Inputs!$E$12)^(24-1))+(IF(24&lt;Inputs!$E$13,0,Inputs!$E$14*(1+Inputs!$E$15)^(24-Inputs!$E$13)*Inputs!$E$16))))*Inputs!$E$29))-((Inputs!$E$19+Inputs!$E$20+Inputs!$E$21+(Inputs!$E$22*$C8)+Inputs!$E$23))-(IF(AND(Inputs!$E$24&gt;0,24=Inputs!$E$24),Inputs!$E$25,0)))),0)*Inputs!$E$28))))+(IF(AND(Inputs!$E$17&gt;0,24=Inputs!$E$17),Inputs!$E$18,0))))</f>
        <v/>
      </c>
      <c r="AE8" s="8">
        <f>AD8+(((((((((Inputs!$E$3*(1+Inputs!$E$4)^(25-1))*Inputs!$E$5)*Inputs!$E$6)+((Inputs!$E$7*(1+Inputs!$E$8)^(25-1))*Inputs!$E$9)+(Inputs!$E$11*(1+Inputs!$E$12)^(25-1))+(IF(25&lt;Inputs!$E$13,0,Inputs!$E$14*(1+Inputs!$E$15)^(25-Inputs!$E$13)*Inputs!$E$16))))-(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+(((Inputs!$E$7*(1+Inputs!$E$8)^(25-1))*Inputs!$E$10))+(((((((Inputs!$E$3*(1+Inputs!$E$4)^(25-1))*Inputs!$E$5)*Inputs!$E$6)+((Inputs!$E$7*(1+Inputs!$E$8)^(25-1))*Inputs!$E$9)+(Inputs!$E$11*(1+Inputs!$E$12)^(25-1))+(IF(25&lt;Inputs!$E$13,0,Inputs!$E$14*(1+Inputs!$E$15)^(25-Inputs!$E$13)*Inputs!$E$16))))*Inputs!$E$29))+((Inputs!$E$19+Inputs!$E$20+Inputs!$E$21+(Inputs!$E$22*$C8)+Inputs!$E$23))+(IF(AND(Inputs!$E$24&gt;0,25=Inputs!$E$24),Inputs!$E$25,0))+(MAX((((((((Inputs!$E$3*(1+Inputs!$E$4)^(25-1))*Inputs!$E$5)*Inputs!$E$6)+((Inputs!$E$7*(1+Inputs!$E$8)^(25-1))*Inputs!$E$9)+(Inputs!$E$11*(1+Inputs!$E$12)^(25-1))+(IF(25&lt;Inputs!$E$13,0,Inputs!$E$14*(1+Inputs!$E$15)^(25-Inputs!$E$13)*Inputs!$E$16))))-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-(((Inputs!$E$7*(1+Inputs!$E$8)^(25-1))*Inputs!$E$10))-(((((((Inputs!$E$3*(1+Inputs!$E$4)^(25-1))*Inputs!$E$5)*Inputs!$E$6)+((Inputs!$E$7*(1+Inputs!$E$8)^(25-1))*Inputs!$E$9)+(Inputs!$E$11*(1+Inputs!$E$12)^(25-1))+(IF(25&lt;Inputs!$E$13,0,Inputs!$E$14*(1+Inputs!$E$15)^(25-Inputs!$E$13)*Inputs!$E$16))))*Inputs!$E$29))-((Inputs!$E$19+Inputs!$E$20+Inputs!$E$21+(Inputs!$E$22*$C8)+Inputs!$E$23))-(IF(AND(Inputs!$E$24&gt;0,25=Inputs!$E$24),Inputs!$E$25,0)))),0)*Inputs!$E$28))))+(IF(AND(Inputs!$E$17&gt;0,25=Inputs!$E$17),Inputs!$E$18,0))))</f>
        <v/>
      </c>
      <c r="AF8" s="8">
        <f>AE8+(((((((((Inputs!$E$3*(1+Inputs!$E$4)^(26-1))*Inputs!$E$5)*Inputs!$E$6)+((Inputs!$E$7*(1+Inputs!$E$8)^(26-1))*Inputs!$E$9)+(Inputs!$E$11*(1+Inputs!$E$12)^(26-1))+(IF(26&lt;Inputs!$E$13,0,Inputs!$E$14*(1+Inputs!$E$15)^(26-Inputs!$E$13)*Inputs!$E$16))))-(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+(((Inputs!$E$7*(1+Inputs!$E$8)^(26-1))*Inputs!$E$10))+(((((((Inputs!$E$3*(1+Inputs!$E$4)^(26-1))*Inputs!$E$5)*Inputs!$E$6)+((Inputs!$E$7*(1+Inputs!$E$8)^(26-1))*Inputs!$E$9)+(Inputs!$E$11*(1+Inputs!$E$12)^(26-1))+(IF(26&lt;Inputs!$E$13,0,Inputs!$E$14*(1+Inputs!$E$15)^(26-Inputs!$E$13)*Inputs!$E$16))))*Inputs!$E$29))+((Inputs!$E$19+Inputs!$E$20+Inputs!$E$21+(Inputs!$E$22*$C8)+Inputs!$E$23))+(IF(AND(Inputs!$E$24&gt;0,26=Inputs!$E$24),Inputs!$E$25,0))+(MAX((((((((Inputs!$E$3*(1+Inputs!$E$4)^(26-1))*Inputs!$E$5)*Inputs!$E$6)+((Inputs!$E$7*(1+Inputs!$E$8)^(26-1))*Inputs!$E$9)+(Inputs!$E$11*(1+Inputs!$E$12)^(26-1))+(IF(26&lt;Inputs!$E$13,0,Inputs!$E$14*(1+Inputs!$E$15)^(26-Inputs!$E$13)*Inputs!$E$16))))-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-(((Inputs!$E$7*(1+Inputs!$E$8)^(26-1))*Inputs!$E$10))-(((((((Inputs!$E$3*(1+Inputs!$E$4)^(26-1))*Inputs!$E$5)*Inputs!$E$6)+((Inputs!$E$7*(1+Inputs!$E$8)^(26-1))*Inputs!$E$9)+(Inputs!$E$11*(1+Inputs!$E$12)^(26-1))+(IF(26&lt;Inputs!$E$13,0,Inputs!$E$14*(1+Inputs!$E$15)^(26-Inputs!$E$13)*Inputs!$E$16))))*Inputs!$E$29))-((Inputs!$E$19+Inputs!$E$20+Inputs!$E$21+(Inputs!$E$22*$C8)+Inputs!$E$23))-(IF(AND(Inputs!$E$24&gt;0,26=Inputs!$E$24),Inputs!$E$25,0)))),0)*Inputs!$E$28))))+(IF(AND(Inputs!$E$17&gt;0,26=Inputs!$E$17),Inputs!$E$18,0))))</f>
        <v/>
      </c>
      <c r="AG8" s="8">
        <f>AF8+(((((((((Inputs!$E$3*(1+Inputs!$E$4)^(27-1))*Inputs!$E$5)*Inputs!$E$6)+((Inputs!$E$7*(1+Inputs!$E$8)^(27-1))*Inputs!$E$9)+(Inputs!$E$11*(1+Inputs!$E$12)^(27-1))+(IF(27&lt;Inputs!$E$13,0,Inputs!$E$14*(1+Inputs!$E$15)^(27-Inputs!$E$13)*Inputs!$E$16))))-(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+(((Inputs!$E$7*(1+Inputs!$E$8)^(27-1))*Inputs!$E$10))+(((((((Inputs!$E$3*(1+Inputs!$E$4)^(27-1))*Inputs!$E$5)*Inputs!$E$6)+((Inputs!$E$7*(1+Inputs!$E$8)^(27-1))*Inputs!$E$9)+(Inputs!$E$11*(1+Inputs!$E$12)^(27-1))+(IF(27&lt;Inputs!$E$13,0,Inputs!$E$14*(1+Inputs!$E$15)^(27-Inputs!$E$13)*Inputs!$E$16))))*Inputs!$E$29))+((Inputs!$E$19+Inputs!$E$20+Inputs!$E$21+(Inputs!$E$22*$C8)+Inputs!$E$23))+(IF(AND(Inputs!$E$24&gt;0,27=Inputs!$E$24),Inputs!$E$25,0))+(MAX((((((((Inputs!$E$3*(1+Inputs!$E$4)^(27-1))*Inputs!$E$5)*Inputs!$E$6)+((Inputs!$E$7*(1+Inputs!$E$8)^(27-1))*Inputs!$E$9)+(Inputs!$E$11*(1+Inputs!$E$12)^(27-1))+(IF(27&lt;Inputs!$E$13,0,Inputs!$E$14*(1+Inputs!$E$15)^(27-Inputs!$E$13)*Inputs!$E$16))))-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-(((Inputs!$E$7*(1+Inputs!$E$8)^(27-1))*Inputs!$E$10))-(((((((Inputs!$E$3*(1+Inputs!$E$4)^(27-1))*Inputs!$E$5)*Inputs!$E$6)+((Inputs!$E$7*(1+Inputs!$E$8)^(27-1))*Inputs!$E$9)+(Inputs!$E$11*(1+Inputs!$E$12)^(27-1))+(IF(27&lt;Inputs!$E$13,0,Inputs!$E$14*(1+Inputs!$E$15)^(27-Inputs!$E$13)*Inputs!$E$16))))*Inputs!$E$29))-((Inputs!$E$19+Inputs!$E$20+Inputs!$E$21+(Inputs!$E$22*$C8)+Inputs!$E$23))-(IF(AND(Inputs!$E$24&gt;0,27=Inputs!$E$24),Inputs!$E$25,0)))),0)*Inputs!$E$28))))+(IF(AND(Inputs!$E$17&gt;0,27=Inputs!$E$17),Inputs!$E$18,0))))</f>
        <v/>
      </c>
      <c r="AH8" s="8">
        <f>AG8+(((((((((Inputs!$E$3*(1+Inputs!$E$4)^(28-1))*Inputs!$E$5)*Inputs!$E$6)+((Inputs!$E$7*(1+Inputs!$E$8)^(28-1))*Inputs!$E$9)+(Inputs!$E$11*(1+Inputs!$E$12)^(28-1))+(IF(28&lt;Inputs!$E$13,0,Inputs!$E$14*(1+Inputs!$E$15)^(28-Inputs!$E$13)*Inputs!$E$16))))-(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+(((Inputs!$E$7*(1+Inputs!$E$8)^(28-1))*Inputs!$E$10))+(((((((Inputs!$E$3*(1+Inputs!$E$4)^(28-1))*Inputs!$E$5)*Inputs!$E$6)+((Inputs!$E$7*(1+Inputs!$E$8)^(28-1))*Inputs!$E$9)+(Inputs!$E$11*(1+Inputs!$E$12)^(28-1))+(IF(28&lt;Inputs!$E$13,0,Inputs!$E$14*(1+Inputs!$E$15)^(28-Inputs!$E$13)*Inputs!$E$16))))*Inputs!$E$29))+((Inputs!$E$19+Inputs!$E$20+Inputs!$E$21+(Inputs!$E$22*$C8)+Inputs!$E$23))+(IF(AND(Inputs!$E$24&gt;0,28=Inputs!$E$24),Inputs!$E$25,0))+(MAX((((((((Inputs!$E$3*(1+Inputs!$E$4)^(28-1))*Inputs!$E$5)*Inputs!$E$6)+((Inputs!$E$7*(1+Inputs!$E$8)^(28-1))*Inputs!$E$9)+(Inputs!$E$11*(1+Inputs!$E$12)^(28-1))+(IF(28&lt;Inputs!$E$13,0,Inputs!$E$14*(1+Inputs!$E$15)^(28-Inputs!$E$13)*Inputs!$E$16))))-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-(((Inputs!$E$7*(1+Inputs!$E$8)^(28-1))*Inputs!$E$10))-(((((((Inputs!$E$3*(1+Inputs!$E$4)^(28-1))*Inputs!$E$5)*Inputs!$E$6)+((Inputs!$E$7*(1+Inputs!$E$8)^(28-1))*Inputs!$E$9)+(Inputs!$E$11*(1+Inputs!$E$12)^(28-1))+(IF(28&lt;Inputs!$E$13,0,Inputs!$E$14*(1+Inputs!$E$15)^(28-Inputs!$E$13)*Inputs!$E$16))))*Inputs!$E$29))-((Inputs!$E$19+Inputs!$E$20+Inputs!$E$21+(Inputs!$E$22*$C8)+Inputs!$E$23))-(IF(AND(Inputs!$E$24&gt;0,28=Inputs!$E$24),Inputs!$E$25,0)))),0)*Inputs!$E$28))))+(IF(AND(Inputs!$E$17&gt;0,28=Inputs!$E$17),Inputs!$E$18,0))))</f>
        <v/>
      </c>
      <c r="AI8" s="8">
        <f>AH8+(((((((((Inputs!$E$3*(1+Inputs!$E$4)^(29-1))*Inputs!$E$5)*Inputs!$E$6)+((Inputs!$E$7*(1+Inputs!$E$8)^(29-1))*Inputs!$E$9)+(Inputs!$E$11*(1+Inputs!$E$12)^(29-1))+(IF(29&lt;Inputs!$E$13,0,Inputs!$E$14*(1+Inputs!$E$15)^(29-Inputs!$E$13)*Inputs!$E$16))))-(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+(((Inputs!$E$7*(1+Inputs!$E$8)^(29-1))*Inputs!$E$10))+(((((((Inputs!$E$3*(1+Inputs!$E$4)^(29-1))*Inputs!$E$5)*Inputs!$E$6)+((Inputs!$E$7*(1+Inputs!$E$8)^(29-1))*Inputs!$E$9)+(Inputs!$E$11*(1+Inputs!$E$12)^(29-1))+(IF(29&lt;Inputs!$E$13,0,Inputs!$E$14*(1+Inputs!$E$15)^(29-Inputs!$E$13)*Inputs!$E$16))))*Inputs!$E$29))+((Inputs!$E$19+Inputs!$E$20+Inputs!$E$21+(Inputs!$E$22*$C8)+Inputs!$E$23))+(IF(AND(Inputs!$E$24&gt;0,29=Inputs!$E$24),Inputs!$E$25,0))+(MAX((((((((Inputs!$E$3*(1+Inputs!$E$4)^(29-1))*Inputs!$E$5)*Inputs!$E$6)+((Inputs!$E$7*(1+Inputs!$E$8)^(29-1))*Inputs!$E$9)+(Inputs!$E$11*(1+Inputs!$E$12)^(29-1))+(IF(29&lt;Inputs!$E$13,0,Inputs!$E$14*(1+Inputs!$E$15)^(29-Inputs!$E$13)*Inputs!$E$16))))-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-(((Inputs!$E$7*(1+Inputs!$E$8)^(29-1))*Inputs!$E$10))-(((((((Inputs!$E$3*(1+Inputs!$E$4)^(29-1))*Inputs!$E$5)*Inputs!$E$6)+((Inputs!$E$7*(1+Inputs!$E$8)^(29-1))*Inputs!$E$9)+(Inputs!$E$11*(1+Inputs!$E$12)^(29-1))+(IF(29&lt;Inputs!$E$13,0,Inputs!$E$14*(1+Inputs!$E$15)^(29-Inputs!$E$13)*Inputs!$E$16))))*Inputs!$E$29))-((Inputs!$E$19+Inputs!$E$20+Inputs!$E$21+(Inputs!$E$22*$C8)+Inputs!$E$23))-(IF(AND(Inputs!$E$24&gt;0,29=Inputs!$E$24),Inputs!$E$25,0)))),0)*Inputs!$E$28))))+(IF(AND(Inputs!$E$17&gt;0,29=Inputs!$E$17),Inputs!$E$18,0))))</f>
        <v/>
      </c>
      <c r="AJ8" s="8">
        <f>AI8+(((((((((Inputs!$E$3*(1+Inputs!$E$4)^(30-1))*Inputs!$E$5)*Inputs!$E$6)+((Inputs!$E$7*(1+Inputs!$E$8)^(30-1))*Inputs!$E$9)+(Inputs!$E$11*(1+Inputs!$E$12)^(30-1))+(IF(30&lt;Inputs!$E$13,0,Inputs!$E$14*(1+Inputs!$E$15)^(30-Inputs!$E$13)*Inputs!$E$16))))-(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+(((Inputs!$E$7*(1+Inputs!$E$8)^(30-1))*Inputs!$E$10))+(((((((Inputs!$E$3*(1+Inputs!$E$4)^(30-1))*Inputs!$E$5)*Inputs!$E$6)+((Inputs!$E$7*(1+Inputs!$E$8)^(30-1))*Inputs!$E$9)+(Inputs!$E$11*(1+Inputs!$E$12)^(30-1))+(IF(30&lt;Inputs!$E$13,0,Inputs!$E$14*(1+Inputs!$E$15)^(30-Inputs!$E$13)*Inputs!$E$16))))*Inputs!$E$29))+((Inputs!$E$19+Inputs!$E$20+Inputs!$E$21+(Inputs!$E$22*$C8)+Inputs!$E$23))+(IF(AND(Inputs!$E$24&gt;0,30=Inputs!$E$24),Inputs!$E$25,0))+(MAX((((((((Inputs!$E$3*(1+Inputs!$E$4)^(30-1))*Inputs!$E$5)*Inputs!$E$6)+((Inputs!$E$7*(1+Inputs!$E$8)^(30-1))*Inputs!$E$9)+(Inputs!$E$11*(1+Inputs!$E$12)^(30-1))+(IF(30&lt;Inputs!$E$13,0,Inputs!$E$14*(1+Inputs!$E$15)^(30-Inputs!$E$13)*Inputs!$E$16))))-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-(((Inputs!$E$7*(1+Inputs!$E$8)^(30-1))*Inputs!$E$10))-(((((((Inputs!$E$3*(1+Inputs!$E$4)^(30-1))*Inputs!$E$5)*Inputs!$E$6)+((Inputs!$E$7*(1+Inputs!$E$8)^(30-1))*Inputs!$E$9)+(Inputs!$E$11*(1+Inputs!$E$12)^(30-1))+(IF(30&lt;Inputs!$E$13,0,Inputs!$E$14*(1+Inputs!$E$15)^(30-Inputs!$E$13)*Inputs!$E$16))))*Inputs!$E$29))-((Inputs!$E$19+Inputs!$E$20+Inputs!$E$21+(Inputs!$E$22*$C8)+Inputs!$E$23))-(IF(AND(Inputs!$E$24&gt;0,30=Inputs!$E$24),Inputs!$E$25,0)))),0)*Inputs!$E$28))))+(IF(AND(Inputs!$E$17&gt;0,30=Inputs!$E$17),Inputs!$E$18,0))))</f>
        <v/>
      </c>
      <c r="AK8" s="8">
        <f>AJ8+(((((((((Inputs!$E$3*(1+Inputs!$E$4)^(31-1))*Inputs!$E$5)*Inputs!$E$6)+((Inputs!$E$7*(1+Inputs!$E$8)^(31-1))*Inputs!$E$9)+(Inputs!$E$11*(1+Inputs!$E$12)^(31-1))+(IF(31&lt;Inputs!$E$13,0,Inputs!$E$14*(1+Inputs!$E$15)^(31-Inputs!$E$13)*Inputs!$E$16))))-(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+(((Inputs!$E$7*(1+Inputs!$E$8)^(31-1))*Inputs!$E$10))+(((((((Inputs!$E$3*(1+Inputs!$E$4)^(31-1))*Inputs!$E$5)*Inputs!$E$6)+((Inputs!$E$7*(1+Inputs!$E$8)^(31-1))*Inputs!$E$9)+(Inputs!$E$11*(1+Inputs!$E$12)^(31-1))+(IF(31&lt;Inputs!$E$13,0,Inputs!$E$14*(1+Inputs!$E$15)^(31-Inputs!$E$13)*Inputs!$E$16))))*Inputs!$E$29))+((Inputs!$E$19+Inputs!$E$20+Inputs!$E$21+(Inputs!$E$22*$C8)+Inputs!$E$23))+(IF(AND(Inputs!$E$24&gt;0,31=Inputs!$E$24),Inputs!$E$25,0))+(MAX((((((((Inputs!$E$3*(1+Inputs!$E$4)^(31-1))*Inputs!$E$5)*Inputs!$E$6)+((Inputs!$E$7*(1+Inputs!$E$8)^(31-1))*Inputs!$E$9)+(Inputs!$E$11*(1+Inputs!$E$12)^(31-1))+(IF(31&lt;Inputs!$E$13,0,Inputs!$E$14*(1+Inputs!$E$15)^(31-Inputs!$E$13)*Inputs!$E$16))))-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-(((Inputs!$E$7*(1+Inputs!$E$8)^(31-1))*Inputs!$E$10))-(((((((Inputs!$E$3*(1+Inputs!$E$4)^(31-1))*Inputs!$E$5)*Inputs!$E$6)+((Inputs!$E$7*(1+Inputs!$E$8)^(31-1))*Inputs!$E$9)+(Inputs!$E$11*(1+Inputs!$E$12)^(31-1))+(IF(31&lt;Inputs!$E$13,0,Inputs!$E$14*(1+Inputs!$E$15)^(31-Inputs!$E$13)*Inputs!$E$16))))*Inputs!$E$29))-((Inputs!$E$19+Inputs!$E$20+Inputs!$E$21+(Inputs!$E$22*$C8)+Inputs!$E$23))-(IF(AND(Inputs!$E$24&gt;0,31=Inputs!$E$24),Inputs!$E$25,0)))),0)*Inputs!$E$28))))+(IF(AND(Inputs!$E$17&gt;0,31=Inputs!$E$17),Inputs!$E$18,0))))</f>
        <v/>
      </c>
      <c r="AL8" s="8">
        <f>AK8+(((((((((Inputs!$E$3*(1+Inputs!$E$4)^(32-1))*Inputs!$E$5)*Inputs!$E$6)+((Inputs!$E$7*(1+Inputs!$E$8)^(32-1))*Inputs!$E$9)+(Inputs!$E$11*(1+Inputs!$E$12)^(32-1))+(IF(32&lt;Inputs!$E$13,0,Inputs!$E$14*(1+Inputs!$E$15)^(32-Inputs!$E$13)*Inputs!$E$16))))-(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+(((Inputs!$E$7*(1+Inputs!$E$8)^(32-1))*Inputs!$E$10))+(((((((Inputs!$E$3*(1+Inputs!$E$4)^(32-1))*Inputs!$E$5)*Inputs!$E$6)+((Inputs!$E$7*(1+Inputs!$E$8)^(32-1))*Inputs!$E$9)+(Inputs!$E$11*(1+Inputs!$E$12)^(32-1))+(IF(32&lt;Inputs!$E$13,0,Inputs!$E$14*(1+Inputs!$E$15)^(32-Inputs!$E$13)*Inputs!$E$16))))*Inputs!$E$29))+((Inputs!$E$19+Inputs!$E$20+Inputs!$E$21+(Inputs!$E$22*$C8)+Inputs!$E$23))+(IF(AND(Inputs!$E$24&gt;0,32=Inputs!$E$24),Inputs!$E$25,0))+(MAX((((((((Inputs!$E$3*(1+Inputs!$E$4)^(32-1))*Inputs!$E$5)*Inputs!$E$6)+((Inputs!$E$7*(1+Inputs!$E$8)^(32-1))*Inputs!$E$9)+(Inputs!$E$11*(1+Inputs!$E$12)^(32-1))+(IF(32&lt;Inputs!$E$13,0,Inputs!$E$14*(1+Inputs!$E$15)^(32-Inputs!$E$13)*Inputs!$E$16))))-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-(((Inputs!$E$7*(1+Inputs!$E$8)^(32-1))*Inputs!$E$10))-(((((((Inputs!$E$3*(1+Inputs!$E$4)^(32-1))*Inputs!$E$5)*Inputs!$E$6)+((Inputs!$E$7*(1+Inputs!$E$8)^(32-1))*Inputs!$E$9)+(Inputs!$E$11*(1+Inputs!$E$12)^(32-1))+(IF(32&lt;Inputs!$E$13,0,Inputs!$E$14*(1+Inputs!$E$15)^(32-Inputs!$E$13)*Inputs!$E$16))))*Inputs!$E$29))-((Inputs!$E$19+Inputs!$E$20+Inputs!$E$21+(Inputs!$E$22*$C8)+Inputs!$E$23))-(IF(AND(Inputs!$E$24&gt;0,32=Inputs!$E$24),Inputs!$E$25,0)))),0)*Inputs!$E$28))))+(IF(AND(Inputs!$E$17&gt;0,32=Inputs!$E$17),Inputs!$E$18,0))))</f>
        <v/>
      </c>
      <c r="AM8" s="8">
        <f>AL8+(((((((((Inputs!$E$3*(1+Inputs!$E$4)^(33-1))*Inputs!$E$5)*Inputs!$E$6)+((Inputs!$E$7*(1+Inputs!$E$8)^(33-1))*Inputs!$E$9)+(Inputs!$E$11*(1+Inputs!$E$12)^(33-1))+(IF(33&lt;Inputs!$E$13,0,Inputs!$E$14*(1+Inputs!$E$15)^(33-Inputs!$E$13)*Inputs!$E$16))))-(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+(((Inputs!$E$7*(1+Inputs!$E$8)^(33-1))*Inputs!$E$10))+(((((((Inputs!$E$3*(1+Inputs!$E$4)^(33-1))*Inputs!$E$5)*Inputs!$E$6)+((Inputs!$E$7*(1+Inputs!$E$8)^(33-1))*Inputs!$E$9)+(Inputs!$E$11*(1+Inputs!$E$12)^(33-1))+(IF(33&lt;Inputs!$E$13,0,Inputs!$E$14*(1+Inputs!$E$15)^(33-Inputs!$E$13)*Inputs!$E$16))))*Inputs!$E$29))+((Inputs!$E$19+Inputs!$E$20+Inputs!$E$21+(Inputs!$E$22*$C8)+Inputs!$E$23))+(IF(AND(Inputs!$E$24&gt;0,33=Inputs!$E$24),Inputs!$E$25,0))+(MAX((((((((Inputs!$E$3*(1+Inputs!$E$4)^(33-1))*Inputs!$E$5)*Inputs!$E$6)+((Inputs!$E$7*(1+Inputs!$E$8)^(33-1))*Inputs!$E$9)+(Inputs!$E$11*(1+Inputs!$E$12)^(33-1))+(IF(33&lt;Inputs!$E$13,0,Inputs!$E$14*(1+Inputs!$E$15)^(33-Inputs!$E$13)*Inputs!$E$16))))-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-(((Inputs!$E$7*(1+Inputs!$E$8)^(33-1))*Inputs!$E$10))-(((((((Inputs!$E$3*(1+Inputs!$E$4)^(33-1))*Inputs!$E$5)*Inputs!$E$6)+((Inputs!$E$7*(1+Inputs!$E$8)^(33-1))*Inputs!$E$9)+(Inputs!$E$11*(1+Inputs!$E$12)^(33-1))+(IF(33&lt;Inputs!$E$13,0,Inputs!$E$14*(1+Inputs!$E$15)^(33-Inputs!$E$13)*Inputs!$E$16))))*Inputs!$E$29))-((Inputs!$E$19+Inputs!$E$20+Inputs!$E$21+(Inputs!$E$22*$C8)+Inputs!$E$23))-(IF(AND(Inputs!$E$24&gt;0,33=Inputs!$E$24),Inputs!$E$25,0)))),0)*Inputs!$E$28))))+(IF(AND(Inputs!$E$17&gt;0,33=Inputs!$E$17),Inputs!$E$18,0))))</f>
        <v/>
      </c>
      <c r="AN8" s="8">
        <f>AM8+(((((((((Inputs!$E$3*(1+Inputs!$E$4)^(34-1))*Inputs!$E$5)*Inputs!$E$6)+((Inputs!$E$7*(1+Inputs!$E$8)^(34-1))*Inputs!$E$9)+(Inputs!$E$11*(1+Inputs!$E$12)^(34-1))+(IF(34&lt;Inputs!$E$13,0,Inputs!$E$14*(1+Inputs!$E$15)^(34-Inputs!$E$13)*Inputs!$E$16))))-(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+(((Inputs!$E$7*(1+Inputs!$E$8)^(34-1))*Inputs!$E$10))+(((((((Inputs!$E$3*(1+Inputs!$E$4)^(34-1))*Inputs!$E$5)*Inputs!$E$6)+((Inputs!$E$7*(1+Inputs!$E$8)^(34-1))*Inputs!$E$9)+(Inputs!$E$11*(1+Inputs!$E$12)^(34-1))+(IF(34&lt;Inputs!$E$13,0,Inputs!$E$14*(1+Inputs!$E$15)^(34-Inputs!$E$13)*Inputs!$E$16))))*Inputs!$E$29))+((Inputs!$E$19+Inputs!$E$20+Inputs!$E$21+(Inputs!$E$22*$C8)+Inputs!$E$23))+(IF(AND(Inputs!$E$24&gt;0,34=Inputs!$E$24),Inputs!$E$25,0))+(MAX((((((((Inputs!$E$3*(1+Inputs!$E$4)^(34-1))*Inputs!$E$5)*Inputs!$E$6)+((Inputs!$E$7*(1+Inputs!$E$8)^(34-1))*Inputs!$E$9)+(Inputs!$E$11*(1+Inputs!$E$12)^(34-1))+(IF(34&lt;Inputs!$E$13,0,Inputs!$E$14*(1+Inputs!$E$15)^(34-Inputs!$E$13)*Inputs!$E$16))))-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-(((Inputs!$E$7*(1+Inputs!$E$8)^(34-1))*Inputs!$E$10))-(((((((Inputs!$E$3*(1+Inputs!$E$4)^(34-1))*Inputs!$E$5)*Inputs!$E$6)+((Inputs!$E$7*(1+Inputs!$E$8)^(34-1))*Inputs!$E$9)+(Inputs!$E$11*(1+Inputs!$E$12)^(34-1))+(IF(34&lt;Inputs!$E$13,0,Inputs!$E$14*(1+Inputs!$E$15)^(34-Inputs!$E$13)*Inputs!$E$16))))*Inputs!$E$29))-((Inputs!$E$19+Inputs!$E$20+Inputs!$E$21+(Inputs!$E$22*$C8)+Inputs!$E$23))-(IF(AND(Inputs!$E$24&gt;0,34=Inputs!$E$24),Inputs!$E$25,0)))),0)*Inputs!$E$28))))+(IF(AND(Inputs!$E$17&gt;0,34=Inputs!$E$17),Inputs!$E$18,0))))</f>
        <v/>
      </c>
      <c r="AO8" s="8">
        <f>AN8+(((((((((Inputs!$E$3*(1+Inputs!$E$4)^(35-1))*Inputs!$E$5)*Inputs!$E$6)+((Inputs!$E$7*(1+Inputs!$E$8)^(35-1))*Inputs!$E$9)+(Inputs!$E$11*(1+Inputs!$E$12)^(35-1))+(IF(35&lt;Inputs!$E$13,0,Inputs!$E$14*(1+Inputs!$E$15)^(35-Inputs!$E$13)*Inputs!$E$16))))-(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+(((Inputs!$E$7*(1+Inputs!$E$8)^(35-1))*Inputs!$E$10))+(((((((Inputs!$E$3*(1+Inputs!$E$4)^(35-1))*Inputs!$E$5)*Inputs!$E$6)+((Inputs!$E$7*(1+Inputs!$E$8)^(35-1))*Inputs!$E$9)+(Inputs!$E$11*(1+Inputs!$E$12)^(35-1))+(IF(35&lt;Inputs!$E$13,0,Inputs!$E$14*(1+Inputs!$E$15)^(35-Inputs!$E$13)*Inputs!$E$16))))*Inputs!$E$29))+((Inputs!$E$19+Inputs!$E$20+Inputs!$E$21+(Inputs!$E$22*$C8)+Inputs!$E$23))+(IF(AND(Inputs!$E$24&gt;0,35=Inputs!$E$24),Inputs!$E$25,0))+(MAX((((((((Inputs!$E$3*(1+Inputs!$E$4)^(35-1))*Inputs!$E$5)*Inputs!$E$6)+((Inputs!$E$7*(1+Inputs!$E$8)^(35-1))*Inputs!$E$9)+(Inputs!$E$11*(1+Inputs!$E$12)^(35-1))+(IF(35&lt;Inputs!$E$13,0,Inputs!$E$14*(1+Inputs!$E$15)^(35-Inputs!$E$13)*Inputs!$E$16))))-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-(((Inputs!$E$7*(1+Inputs!$E$8)^(35-1))*Inputs!$E$10))-(((((((Inputs!$E$3*(1+Inputs!$E$4)^(35-1))*Inputs!$E$5)*Inputs!$E$6)+((Inputs!$E$7*(1+Inputs!$E$8)^(35-1))*Inputs!$E$9)+(Inputs!$E$11*(1+Inputs!$E$12)^(35-1))+(IF(35&lt;Inputs!$E$13,0,Inputs!$E$14*(1+Inputs!$E$15)^(35-Inputs!$E$13)*Inputs!$E$16))))*Inputs!$E$29))-((Inputs!$E$19+Inputs!$E$20+Inputs!$E$21+(Inputs!$E$22*$C8)+Inputs!$E$23))-(IF(AND(Inputs!$E$24&gt;0,35=Inputs!$E$24),Inputs!$E$25,0)))),0)*Inputs!$E$28))))+(IF(AND(Inputs!$E$17&gt;0,35=Inputs!$E$17),Inputs!$E$18,0))))</f>
        <v/>
      </c>
      <c r="AP8" s="8">
        <f>AO8+(((((((((Inputs!$E$3*(1+Inputs!$E$4)^(36-1))*Inputs!$E$5)*Inputs!$E$6)+((Inputs!$E$7*(1+Inputs!$E$8)^(36-1))*Inputs!$E$9)+(Inputs!$E$11*(1+Inputs!$E$12)^(36-1))+(IF(36&lt;Inputs!$E$13,0,Inputs!$E$14*(1+Inputs!$E$15)^(36-Inputs!$E$13)*Inputs!$E$16))))-(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+(((Inputs!$E$7*(1+Inputs!$E$8)^(36-1))*Inputs!$E$10))+(((((((Inputs!$E$3*(1+Inputs!$E$4)^(36-1))*Inputs!$E$5)*Inputs!$E$6)+((Inputs!$E$7*(1+Inputs!$E$8)^(36-1))*Inputs!$E$9)+(Inputs!$E$11*(1+Inputs!$E$12)^(36-1))+(IF(36&lt;Inputs!$E$13,0,Inputs!$E$14*(1+Inputs!$E$15)^(36-Inputs!$E$13)*Inputs!$E$16))))*Inputs!$E$29))+((Inputs!$E$19+Inputs!$E$20+Inputs!$E$21+(Inputs!$E$22*$C8)+Inputs!$E$23))+(IF(AND(Inputs!$E$24&gt;0,36=Inputs!$E$24),Inputs!$E$25,0))+(MAX((((((((Inputs!$E$3*(1+Inputs!$E$4)^(36-1))*Inputs!$E$5)*Inputs!$E$6)+((Inputs!$E$7*(1+Inputs!$E$8)^(36-1))*Inputs!$E$9)+(Inputs!$E$11*(1+Inputs!$E$12)^(36-1))+(IF(36&lt;Inputs!$E$13,0,Inputs!$E$14*(1+Inputs!$E$15)^(36-Inputs!$E$13)*Inputs!$E$16))))-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-(((Inputs!$E$7*(1+Inputs!$E$8)^(36-1))*Inputs!$E$10))-(((((((Inputs!$E$3*(1+Inputs!$E$4)^(36-1))*Inputs!$E$5)*Inputs!$E$6)+((Inputs!$E$7*(1+Inputs!$E$8)^(36-1))*Inputs!$E$9)+(Inputs!$E$11*(1+Inputs!$E$12)^(36-1))+(IF(36&lt;Inputs!$E$13,0,Inputs!$E$14*(1+Inputs!$E$15)^(36-Inputs!$E$13)*Inputs!$E$16))))*Inputs!$E$29))-((Inputs!$E$19+Inputs!$E$20+Inputs!$E$21+(Inputs!$E$22*$C8)+Inputs!$E$23))-(IF(AND(Inputs!$E$24&gt;0,36=Inputs!$E$24),Inputs!$E$25,0)))),0)*Inputs!$E$28))))+(IF(AND(Inputs!$E$17&gt;0,36=Inputs!$E$17),Inputs!$E$18,0))))</f>
        <v/>
      </c>
    </row>
    <row r="9">
      <c r="A9" s="2" t="inlineStr">
        <is>
          <t>contractor_dev</t>
        </is>
      </c>
      <c r="B9" s="2" t="inlineStr">
        <is>
          <t>Contractor/dev cost -25%</t>
        </is>
      </c>
      <c r="C9" s="2" t="n">
        <v>0.75</v>
      </c>
      <c r="D9" s="8">
        <f>AP9</f>
        <v/>
      </c>
      <c r="E9" s="8">
        <f>IFERROR(INDEX($G$1:$AP$1,MATCH(TRUE,$G9:$AP9&lt;0,0)),"No cash-out")</f>
        <v/>
      </c>
      <c r="F9" s="2" t="inlineStr">
        <is>
          <t>See ending cash / cash-out; monthly op net in Monthly Model</t>
        </is>
      </c>
      <c r="G9" s="8">
        <f>Inputs!$E$2+(((((((((Inputs!$E$3*(1+Inputs!$E$4)^(1-1))*Inputs!$E$5)*Inputs!$E$6)+((Inputs!$E$7*(1+Inputs!$E$8)^(1-1))*Inputs!$E$9)+(Inputs!$E$11*(1+Inputs!$E$12)^(1-1))+(IF(1&lt;Inputs!$E$13,0,Inputs!$E$14*(1+Inputs!$E$15)^(1-Inputs!$E$13)*Inputs!$E$16))))-(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+(((Inputs!$E$7*(1+Inputs!$E$8)^(1-1))*Inputs!$E$10))+(((((((Inputs!$E$3*(1+Inputs!$E$4)^(1-1))*Inputs!$E$5)*Inputs!$E$6)+((Inputs!$E$7*(1+Inputs!$E$8)^(1-1))*Inputs!$E$9)+(Inputs!$E$11*(1+Inputs!$E$12)^(1-1))+(IF(1&lt;Inputs!$E$13,0,Inputs!$E$14*(1+Inputs!$E$15)^(1-Inputs!$E$13)*Inputs!$E$16))))*Inputs!$E$29))+((Inputs!$E$19+Inputs!$E$20+Inputs!$E$21+(Inputs!$E$22*$C9)+Inputs!$E$23))+(IF(AND(Inputs!$E$24&gt;0,1=Inputs!$E$24),Inputs!$E$25,0))+(MAX((((((((Inputs!$E$3*(1+Inputs!$E$4)^(1-1))*Inputs!$E$5)*Inputs!$E$6)+((Inputs!$E$7*(1+Inputs!$E$8)^(1-1))*Inputs!$E$9)+(Inputs!$E$11*(1+Inputs!$E$12)^(1-1))+(IF(1&lt;Inputs!$E$13,0,Inputs!$E$14*(1+Inputs!$E$15)^(1-Inputs!$E$13)*Inputs!$E$16))))-(((((((Inputs!$E$3*(1+Inputs!$E$4)^(1-1))*Inputs!$E$5)*Inputs!$E$6)+((Inputs!$E$7*(1+Inputs!$E$8)^(1-1))*Inputs!$E$9)+(Inputs!$E$11*(1+Inputs!$E$12)^(1-1))+(IF(1&lt;Inputs!$E$13,0,Inputs!$E$14*(1+Inputs!$E$15)^(1-Inputs!$E$13)*Inputs!$E$16))))*Inputs!$E$26+((((Inputs!$E$3*(1+Inputs!$E$4)^(1-1))*Inputs!$E$5)*Inputs!$E$6)+((Inputs!$E$7*(1+Inputs!$E$8)^(1-1))*Inputs!$E$9)+(IF(1&lt;Inputs!$E$13,0,Inputs!$E$14*(1+Inputs!$E$15)^(1-Inputs!$E$13)*Inputs!$E$16)))*Inputs!$E$27+(Inputs!$E$3*(1+Inputs!$E$4)^(1-1))*Inputs!$E$30))-(((Inputs!$E$7*(1+Inputs!$E$8)^(1-1))*Inputs!$E$10))-(((((((Inputs!$E$3*(1+Inputs!$E$4)^(1-1))*Inputs!$E$5)*Inputs!$E$6)+((Inputs!$E$7*(1+Inputs!$E$8)^(1-1))*Inputs!$E$9)+(Inputs!$E$11*(1+Inputs!$E$12)^(1-1))+(IF(1&lt;Inputs!$E$13,0,Inputs!$E$14*(1+Inputs!$E$15)^(1-Inputs!$E$13)*Inputs!$E$16))))*Inputs!$E$29))-((Inputs!$E$19+Inputs!$E$20+Inputs!$E$21+(Inputs!$E$22*$C9)+Inputs!$E$23))-(IF(AND(Inputs!$E$24&gt;0,1=Inputs!$E$24),Inputs!$E$25,0)))),0)*Inputs!$E$28))))+(IF(AND(Inputs!$E$17&gt;0,1=Inputs!$E$17),Inputs!$E$18,0))))</f>
        <v/>
      </c>
      <c r="H9" s="8">
        <f>G9+(((((((((Inputs!$E$3*(1+Inputs!$E$4)^(2-1))*Inputs!$E$5)*Inputs!$E$6)+((Inputs!$E$7*(1+Inputs!$E$8)^(2-1))*Inputs!$E$9)+(Inputs!$E$11*(1+Inputs!$E$12)^(2-1))+(IF(2&lt;Inputs!$E$13,0,Inputs!$E$14*(1+Inputs!$E$15)^(2-Inputs!$E$13)*Inputs!$E$16))))-(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+(((Inputs!$E$7*(1+Inputs!$E$8)^(2-1))*Inputs!$E$10))+(((((((Inputs!$E$3*(1+Inputs!$E$4)^(2-1))*Inputs!$E$5)*Inputs!$E$6)+((Inputs!$E$7*(1+Inputs!$E$8)^(2-1))*Inputs!$E$9)+(Inputs!$E$11*(1+Inputs!$E$12)^(2-1))+(IF(2&lt;Inputs!$E$13,0,Inputs!$E$14*(1+Inputs!$E$15)^(2-Inputs!$E$13)*Inputs!$E$16))))*Inputs!$E$29))+((Inputs!$E$19+Inputs!$E$20+Inputs!$E$21+(Inputs!$E$22*$C9)+Inputs!$E$23))+(IF(AND(Inputs!$E$24&gt;0,2=Inputs!$E$24),Inputs!$E$25,0))+(MAX((((((((Inputs!$E$3*(1+Inputs!$E$4)^(2-1))*Inputs!$E$5)*Inputs!$E$6)+((Inputs!$E$7*(1+Inputs!$E$8)^(2-1))*Inputs!$E$9)+(Inputs!$E$11*(1+Inputs!$E$12)^(2-1))+(IF(2&lt;Inputs!$E$13,0,Inputs!$E$14*(1+Inputs!$E$15)^(2-Inputs!$E$13)*Inputs!$E$16))))-(((((((Inputs!$E$3*(1+Inputs!$E$4)^(2-1))*Inputs!$E$5)*Inputs!$E$6)+((Inputs!$E$7*(1+Inputs!$E$8)^(2-1))*Inputs!$E$9)+(Inputs!$E$11*(1+Inputs!$E$12)^(2-1))+(IF(2&lt;Inputs!$E$13,0,Inputs!$E$14*(1+Inputs!$E$15)^(2-Inputs!$E$13)*Inputs!$E$16))))*Inputs!$E$26+((((Inputs!$E$3*(1+Inputs!$E$4)^(2-1))*Inputs!$E$5)*Inputs!$E$6)+((Inputs!$E$7*(1+Inputs!$E$8)^(2-1))*Inputs!$E$9)+(IF(2&lt;Inputs!$E$13,0,Inputs!$E$14*(1+Inputs!$E$15)^(2-Inputs!$E$13)*Inputs!$E$16)))*Inputs!$E$27+(Inputs!$E$3*(1+Inputs!$E$4)^(2-1))*Inputs!$E$30))-(((Inputs!$E$7*(1+Inputs!$E$8)^(2-1))*Inputs!$E$10))-(((((((Inputs!$E$3*(1+Inputs!$E$4)^(2-1))*Inputs!$E$5)*Inputs!$E$6)+((Inputs!$E$7*(1+Inputs!$E$8)^(2-1))*Inputs!$E$9)+(Inputs!$E$11*(1+Inputs!$E$12)^(2-1))+(IF(2&lt;Inputs!$E$13,0,Inputs!$E$14*(1+Inputs!$E$15)^(2-Inputs!$E$13)*Inputs!$E$16))))*Inputs!$E$29))-((Inputs!$E$19+Inputs!$E$20+Inputs!$E$21+(Inputs!$E$22*$C9)+Inputs!$E$23))-(IF(AND(Inputs!$E$24&gt;0,2=Inputs!$E$24),Inputs!$E$25,0)))),0)*Inputs!$E$28))))+(IF(AND(Inputs!$E$17&gt;0,2=Inputs!$E$17),Inputs!$E$18,0))))</f>
        <v/>
      </c>
      <c r="I9" s="8">
        <f>H9+(((((((((Inputs!$E$3*(1+Inputs!$E$4)^(3-1))*Inputs!$E$5)*Inputs!$E$6)+((Inputs!$E$7*(1+Inputs!$E$8)^(3-1))*Inputs!$E$9)+(Inputs!$E$11*(1+Inputs!$E$12)^(3-1))+(IF(3&lt;Inputs!$E$13,0,Inputs!$E$14*(1+Inputs!$E$15)^(3-Inputs!$E$13)*Inputs!$E$16))))-(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+(((Inputs!$E$7*(1+Inputs!$E$8)^(3-1))*Inputs!$E$10))+(((((((Inputs!$E$3*(1+Inputs!$E$4)^(3-1))*Inputs!$E$5)*Inputs!$E$6)+((Inputs!$E$7*(1+Inputs!$E$8)^(3-1))*Inputs!$E$9)+(Inputs!$E$11*(1+Inputs!$E$12)^(3-1))+(IF(3&lt;Inputs!$E$13,0,Inputs!$E$14*(1+Inputs!$E$15)^(3-Inputs!$E$13)*Inputs!$E$16))))*Inputs!$E$29))+((Inputs!$E$19+Inputs!$E$20+Inputs!$E$21+(Inputs!$E$22*$C9)+Inputs!$E$23))+(IF(AND(Inputs!$E$24&gt;0,3=Inputs!$E$24),Inputs!$E$25,0))+(MAX((((((((Inputs!$E$3*(1+Inputs!$E$4)^(3-1))*Inputs!$E$5)*Inputs!$E$6)+((Inputs!$E$7*(1+Inputs!$E$8)^(3-1))*Inputs!$E$9)+(Inputs!$E$11*(1+Inputs!$E$12)^(3-1))+(IF(3&lt;Inputs!$E$13,0,Inputs!$E$14*(1+Inputs!$E$15)^(3-Inputs!$E$13)*Inputs!$E$16))))-(((((((Inputs!$E$3*(1+Inputs!$E$4)^(3-1))*Inputs!$E$5)*Inputs!$E$6)+((Inputs!$E$7*(1+Inputs!$E$8)^(3-1))*Inputs!$E$9)+(Inputs!$E$11*(1+Inputs!$E$12)^(3-1))+(IF(3&lt;Inputs!$E$13,0,Inputs!$E$14*(1+Inputs!$E$15)^(3-Inputs!$E$13)*Inputs!$E$16))))*Inputs!$E$26+((((Inputs!$E$3*(1+Inputs!$E$4)^(3-1))*Inputs!$E$5)*Inputs!$E$6)+((Inputs!$E$7*(1+Inputs!$E$8)^(3-1))*Inputs!$E$9)+(IF(3&lt;Inputs!$E$13,0,Inputs!$E$14*(1+Inputs!$E$15)^(3-Inputs!$E$13)*Inputs!$E$16)))*Inputs!$E$27+(Inputs!$E$3*(1+Inputs!$E$4)^(3-1))*Inputs!$E$30))-(((Inputs!$E$7*(1+Inputs!$E$8)^(3-1))*Inputs!$E$10))-(((((((Inputs!$E$3*(1+Inputs!$E$4)^(3-1))*Inputs!$E$5)*Inputs!$E$6)+((Inputs!$E$7*(1+Inputs!$E$8)^(3-1))*Inputs!$E$9)+(Inputs!$E$11*(1+Inputs!$E$12)^(3-1))+(IF(3&lt;Inputs!$E$13,0,Inputs!$E$14*(1+Inputs!$E$15)^(3-Inputs!$E$13)*Inputs!$E$16))))*Inputs!$E$29))-((Inputs!$E$19+Inputs!$E$20+Inputs!$E$21+(Inputs!$E$22*$C9)+Inputs!$E$23))-(IF(AND(Inputs!$E$24&gt;0,3=Inputs!$E$24),Inputs!$E$25,0)))),0)*Inputs!$E$28))))+(IF(AND(Inputs!$E$17&gt;0,3=Inputs!$E$17),Inputs!$E$18,0))))</f>
        <v/>
      </c>
      <c r="J9" s="8">
        <f>I9+(((((((((Inputs!$E$3*(1+Inputs!$E$4)^(4-1))*Inputs!$E$5)*Inputs!$E$6)+((Inputs!$E$7*(1+Inputs!$E$8)^(4-1))*Inputs!$E$9)+(Inputs!$E$11*(1+Inputs!$E$12)^(4-1))+(IF(4&lt;Inputs!$E$13,0,Inputs!$E$14*(1+Inputs!$E$15)^(4-Inputs!$E$13)*Inputs!$E$16))))-(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+(((Inputs!$E$7*(1+Inputs!$E$8)^(4-1))*Inputs!$E$10))+(((((((Inputs!$E$3*(1+Inputs!$E$4)^(4-1))*Inputs!$E$5)*Inputs!$E$6)+((Inputs!$E$7*(1+Inputs!$E$8)^(4-1))*Inputs!$E$9)+(Inputs!$E$11*(1+Inputs!$E$12)^(4-1))+(IF(4&lt;Inputs!$E$13,0,Inputs!$E$14*(1+Inputs!$E$15)^(4-Inputs!$E$13)*Inputs!$E$16))))*Inputs!$E$29))+((Inputs!$E$19+Inputs!$E$20+Inputs!$E$21+(Inputs!$E$22*$C9)+Inputs!$E$23))+(IF(AND(Inputs!$E$24&gt;0,4=Inputs!$E$24),Inputs!$E$25,0))+(MAX((((((((Inputs!$E$3*(1+Inputs!$E$4)^(4-1))*Inputs!$E$5)*Inputs!$E$6)+((Inputs!$E$7*(1+Inputs!$E$8)^(4-1))*Inputs!$E$9)+(Inputs!$E$11*(1+Inputs!$E$12)^(4-1))+(IF(4&lt;Inputs!$E$13,0,Inputs!$E$14*(1+Inputs!$E$15)^(4-Inputs!$E$13)*Inputs!$E$16))))-(((((((Inputs!$E$3*(1+Inputs!$E$4)^(4-1))*Inputs!$E$5)*Inputs!$E$6)+((Inputs!$E$7*(1+Inputs!$E$8)^(4-1))*Inputs!$E$9)+(Inputs!$E$11*(1+Inputs!$E$12)^(4-1))+(IF(4&lt;Inputs!$E$13,0,Inputs!$E$14*(1+Inputs!$E$15)^(4-Inputs!$E$13)*Inputs!$E$16))))*Inputs!$E$26+((((Inputs!$E$3*(1+Inputs!$E$4)^(4-1))*Inputs!$E$5)*Inputs!$E$6)+((Inputs!$E$7*(1+Inputs!$E$8)^(4-1))*Inputs!$E$9)+(IF(4&lt;Inputs!$E$13,0,Inputs!$E$14*(1+Inputs!$E$15)^(4-Inputs!$E$13)*Inputs!$E$16)))*Inputs!$E$27+(Inputs!$E$3*(1+Inputs!$E$4)^(4-1))*Inputs!$E$30))-(((Inputs!$E$7*(1+Inputs!$E$8)^(4-1))*Inputs!$E$10))-(((((((Inputs!$E$3*(1+Inputs!$E$4)^(4-1))*Inputs!$E$5)*Inputs!$E$6)+((Inputs!$E$7*(1+Inputs!$E$8)^(4-1))*Inputs!$E$9)+(Inputs!$E$11*(1+Inputs!$E$12)^(4-1))+(IF(4&lt;Inputs!$E$13,0,Inputs!$E$14*(1+Inputs!$E$15)^(4-Inputs!$E$13)*Inputs!$E$16))))*Inputs!$E$29))-((Inputs!$E$19+Inputs!$E$20+Inputs!$E$21+(Inputs!$E$22*$C9)+Inputs!$E$23))-(IF(AND(Inputs!$E$24&gt;0,4=Inputs!$E$24),Inputs!$E$25,0)))),0)*Inputs!$E$28))))+(IF(AND(Inputs!$E$17&gt;0,4=Inputs!$E$17),Inputs!$E$18,0))))</f>
        <v/>
      </c>
      <c r="K9" s="8">
        <f>J9+(((((((((Inputs!$E$3*(1+Inputs!$E$4)^(5-1))*Inputs!$E$5)*Inputs!$E$6)+((Inputs!$E$7*(1+Inputs!$E$8)^(5-1))*Inputs!$E$9)+(Inputs!$E$11*(1+Inputs!$E$12)^(5-1))+(IF(5&lt;Inputs!$E$13,0,Inputs!$E$14*(1+Inputs!$E$15)^(5-Inputs!$E$13)*Inputs!$E$16))))-(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+(((Inputs!$E$7*(1+Inputs!$E$8)^(5-1))*Inputs!$E$10))+(((((((Inputs!$E$3*(1+Inputs!$E$4)^(5-1))*Inputs!$E$5)*Inputs!$E$6)+((Inputs!$E$7*(1+Inputs!$E$8)^(5-1))*Inputs!$E$9)+(Inputs!$E$11*(1+Inputs!$E$12)^(5-1))+(IF(5&lt;Inputs!$E$13,0,Inputs!$E$14*(1+Inputs!$E$15)^(5-Inputs!$E$13)*Inputs!$E$16))))*Inputs!$E$29))+((Inputs!$E$19+Inputs!$E$20+Inputs!$E$21+(Inputs!$E$22*$C9)+Inputs!$E$23))+(IF(AND(Inputs!$E$24&gt;0,5=Inputs!$E$24),Inputs!$E$25,0))+(MAX((((((((Inputs!$E$3*(1+Inputs!$E$4)^(5-1))*Inputs!$E$5)*Inputs!$E$6)+((Inputs!$E$7*(1+Inputs!$E$8)^(5-1))*Inputs!$E$9)+(Inputs!$E$11*(1+Inputs!$E$12)^(5-1))+(IF(5&lt;Inputs!$E$13,0,Inputs!$E$14*(1+Inputs!$E$15)^(5-Inputs!$E$13)*Inputs!$E$16))))-(((((((Inputs!$E$3*(1+Inputs!$E$4)^(5-1))*Inputs!$E$5)*Inputs!$E$6)+((Inputs!$E$7*(1+Inputs!$E$8)^(5-1))*Inputs!$E$9)+(Inputs!$E$11*(1+Inputs!$E$12)^(5-1))+(IF(5&lt;Inputs!$E$13,0,Inputs!$E$14*(1+Inputs!$E$15)^(5-Inputs!$E$13)*Inputs!$E$16))))*Inputs!$E$26+((((Inputs!$E$3*(1+Inputs!$E$4)^(5-1))*Inputs!$E$5)*Inputs!$E$6)+((Inputs!$E$7*(1+Inputs!$E$8)^(5-1))*Inputs!$E$9)+(IF(5&lt;Inputs!$E$13,0,Inputs!$E$14*(1+Inputs!$E$15)^(5-Inputs!$E$13)*Inputs!$E$16)))*Inputs!$E$27+(Inputs!$E$3*(1+Inputs!$E$4)^(5-1))*Inputs!$E$30))-(((Inputs!$E$7*(1+Inputs!$E$8)^(5-1))*Inputs!$E$10))-(((((((Inputs!$E$3*(1+Inputs!$E$4)^(5-1))*Inputs!$E$5)*Inputs!$E$6)+((Inputs!$E$7*(1+Inputs!$E$8)^(5-1))*Inputs!$E$9)+(Inputs!$E$11*(1+Inputs!$E$12)^(5-1))+(IF(5&lt;Inputs!$E$13,0,Inputs!$E$14*(1+Inputs!$E$15)^(5-Inputs!$E$13)*Inputs!$E$16))))*Inputs!$E$29))-((Inputs!$E$19+Inputs!$E$20+Inputs!$E$21+(Inputs!$E$22*$C9)+Inputs!$E$23))-(IF(AND(Inputs!$E$24&gt;0,5=Inputs!$E$24),Inputs!$E$25,0)))),0)*Inputs!$E$28))))+(IF(AND(Inputs!$E$17&gt;0,5=Inputs!$E$17),Inputs!$E$18,0))))</f>
        <v/>
      </c>
      <c r="L9" s="8">
        <f>K9+(((((((((Inputs!$E$3*(1+Inputs!$E$4)^(6-1))*Inputs!$E$5)*Inputs!$E$6)+((Inputs!$E$7*(1+Inputs!$E$8)^(6-1))*Inputs!$E$9)+(Inputs!$E$11*(1+Inputs!$E$12)^(6-1))+(IF(6&lt;Inputs!$E$13,0,Inputs!$E$14*(1+Inputs!$E$15)^(6-Inputs!$E$13)*Inputs!$E$16))))-(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+(((Inputs!$E$7*(1+Inputs!$E$8)^(6-1))*Inputs!$E$10))+(((((((Inputs!$E$3*(1+Inputs!$E$4)^(6-1))*Inputs!$E$5)*Inputs!$E$6)+((Inputs!$E$7*(1+Inputs!$E$8)^(6-1))*Inputs!$E$9)+(Inputs!$E$11*(1+Inputs!$E$12)^(6-1))+(IF(6&lt;Inputs!$E$13,0,Inputs!$E$14*(1+Inputs!$E$15)^(6-Inputs!$E$13)*Inputs!$E$16))))*Inputs!$E$29))+((Inputs!$E$19+Inputs!$E$20+Inputs!$E$21+(Inputs!$E$22*$C9)+Inputs!$E$23))+(IF(AND(Inputs!$E$24&gt;0,6=Inputs!$E$24),Inputs!$E$25,0))+(MAX((((((((Inputs!$E$3*(1+Inputs!$E$4)^(6-1))*Inputs!$E$5)*Inputs!$E$6)+((Inputs!$E$7*(1+Inputs!$E$8)^(6-1))*Inputs!$E$9)+(Inputs!$E$11*(1+Inputs!$E$12)^(6-1))+(IF(6&lt;Inputs!$E$13,0,Inputs!$E$14*(1+Inputs!$E$15)^(6-Inputs!$E$13)*Inputs!$E$16))))-(((((((Inputs!$E$3*(1+Inputs!$E$4)^(6-1))*Inputs!$E$5)*Inputs!$E$6)+((Inputs!$E$7*(1+Inputs!$E$8)^(6-1))*Inputs!$E$9)+(Inputs!$E$11*(1+Inputs!$E$12)^(6-1))+(IF(6&lt;Inputs!$E$13,0,Inputs!$E$14*(1+Inputs!$E$15)^(6-Inputs!$E$13)*Inputs!$E$16))))*Inputs!$E$26+((((Inputs!$E$3*(1+Inputs!$E$4)^(6-1))*Inputs!$E$5)*Inputs!$E$6)+((Inputs!$E$7*(1+Inputs!$E$8)^(6-1))*Inputs!$E$9)+(IF(6&lt;Inputs!$E$13,0,Inputs!$E$14*(1+Inputs!$E$15)^(6-Inputs!$E$13)*Inputs!$E$16)))*Inputs!$E$27+(Inputs!$E$3*(1+Inputs!$E$4)^(6-1))*Inputs!$E$30))-(((Inputs!$E$7*(1+Inputs!$E$8)^(6-1))*Inputs!$E$10))-(((((((Inputs!$E$3*(1+Inputs!$E$4)^(6-1))*Inputs!$E$5)*Inputs!$E$6)+((Inputs!$E$7*(1+Inputs!$E$8)^(6-1))*Inputs!$E$9)+(Inputs!$E$11*(1+Inputs!$E$12)^(6-1))+(IF(6&lt;Inputs!$E$13,0,Inputs!$E$14*(1+Inputs!$E$15)^(6-Inputs!$E$13)*Inputs!$E$16))))*Inputs!$E$29))-((Inputs!$E$19+Inputs!$E$20+Inputs!$E$21+(Inputs!$E$22*$C9)+Inputs!$E$23))-(IF(AND(Inputs!$E$24&gt;0,6=Inputs!$E$24),Inputs!$E$25,0)))),0)*Inputs!$E$28))))+(IF(AND(Inputs!$E$17&gt;0,6=Inputs!$E$17),Inputs!$E$18,0))))</f>
        <v/>
      </c>
      <c r="M9" s="8">
        <f>L9+(((((((((Inputs!$E$3*(1+Inputs!$E$4)^(7-1))*Inputs!$E$5)*Inputs!$E$6)+((Inputs!$E$7*(1+Inputs!$E$8)^(7-1))*Inputs!$E$9)+(Inputs!$E$11*(1+Inputs!$E$12)^(7-1))+(IF(7&lt;Inputs!$E$13,0,Inputs!$E$14*(1+Inputs!$E$15)^(7-Inputs!$E$13)*Inputs!$E$16))))-(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+(((Inputs!$E$7*(1+Inputs!$E$8)^(7-1))*Inputs!$E$10))+(((((((Inputs!$E$3*(1+Inputs!$E$4)^(7-1))*Inputs!$E$5)*Inputs!$E$6)+((Inputs!$E$7*(1+Inputs!$E$8)^(7-1))*Inputs!$E$9)+(Inputs!$E$11*(1+Inputs!$E$12)^(7-1))+(IF(7&lt;Inputs!$E$13,0,Inputs!$E$14*(1+Inputs!$E$15)^(7-Inputs!$E$13)*Inputs!$E$16))))*Inputs!$E$29))+((Inputs!$E$19+Inputs!$E$20+Inputs!$E$21+(Inputs!$E$22*$C9)+Inputs!$E$23))+(IF(AND(Inputs!$E$24&gt;0,7=Inputs!$E$24),Inputs!$E$25,0))+(MAX((((((((Inputs!$E$3*(1+Inputs!$E$4)^(7-1))*Inputs!$E$5)*Inputs!$E$6)+((Inputs!$E$7*(1+Inputs!$E$8)^(7-1))*Inputs!$E$9)+(Inputs!$E$11*(1+Inputs!$E$12)^(7-1))+(IF(7&lt;Inputs!$E$13,0,Inputs!$E$14*(1+Inputs!$E$15)^(7-Inputs!$E$13)*Inputs!$E$16))))-(((((((Inputs!$E$3*(1+Inputs!$E$4)^(7-1))*Inputs!$E$5)*Inputs!$E$6)+((Inputs!$E$7*(1+Inputs!$E$8)^(7-1))*Inputs!$E$9)+(Inputs!$E$11*(1+Inputs!$E$12)^(7-1))+(IF(7&lt;Inputs!$E$13,0,Inputs!$E$14*(1+Inputs!$E$15)^(7-Inputs!$E$13)*Inputs!$E$16))))*Inputs!$E$26+((((Inputs!$E$3*(1+Inputs!$E$4)^(7-1))*Inputs!$E$5)*Inputs!$E$6)+((Inputs!$E$7*(1+Inputs!$E$8)^(7-1))*Inputs!$E$9)+(IF(7&lt;Inputs!$E$13,0,Inputs!$E$14*(1+Inputs!$E$15)^(7-Inputs!$E$13)*Inputs!$E$16)))*Inputs!$E$27+(Inputs!$E$3*(1+Inputs!$E$4)^(7-1))*Inputs!$E$30))-(((Inputs!$E$7*(1+Inputs!$E$8)^(7-1))*Inputs!$E$10))-(((((((Inputs!$E$3*(1+Inputs!$E$4)^(7-1))*Inputs!$E$5)*Inputs!$E$6)+((Inputs!$E$7*(1+Inputs!$E$8)^(7-1))*Inputs!$E$9)+(Inputs!$E$11*(1+Inputs!$E$12)^(7-1))+(IF(7&lt;Inputs!$E$13,0,Inputs!$E$14*(1+Inputs!$E$15)^(7-Inputs!$E$13)*Inputs!$E$16))))*Inputs!$E$29))-((Inputs!$E$19+Inputs!$E$20+Inputs!$E$21+(Inputs!$E$22*$C9)+Inputs!$E$23))-(IF(AND(Inputs!$E$24&gt;0,7=Inputs!$E$24),Inputs!$E$25,0)))),0)*Inputs!$E$28))))+(IF(AND(Inputs!$E$17&gt;0,7=Inputs!$E$17),Inputs!$E$18,0))))</f>
        <v/>
      </c>
      <c r="N9" s="8">
        <f>M9+(((((((((Inputs!$E$3*(1+Inputs!$E$4)^(8-1))*Inputs!$E$5)*Inputs!$E$6)+((Inputs!$E$7*(1+Inputs!$E$8)^(8-1))*Inputs!$E$9)+(Inputs!$E$11*(1+Inputs!$E$12)^(8-1))+(IF(8&lt;Inputs!$E$13,0,Inputs!$E$14*(1+Inputs!$E$15)^(8-Inputs!$E$13)*Inputs!$E$16))))-(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+(((Inputs!$E$7*(1+Inputs!$E$8)^(8-1))*Inputs!$E$10))+(((((((Inputs!$E$3*(1+Inputs!$E$4)^(8-1))*Inputs!$E$5)*Inputs!$E$6)+((Inputs!$E$7*(1+Inputs!$E$8)^(8-1))*Inputs!$E$9)+(Inputs!$E$11*(1+Inputs!$E$12)^(8-1))+(IF(8&lt;Inputs!$E$13,0,Inputs!$E$14*(1+Inputs!$E$15)^(8-Inputs!$E$13)*Inputs!$E$16))))*Inputs!$E$29))+((Inputs!$E$19+Inputs!$E$20+Inputs!$E$21+(Inputs!$E$22*$C9)+Inputs!$E$23))+(IF(AND(Inputs!$E$24&gt;0,8=Inputs!$E$24),Inputs!$E$25,0))+(MAX((((((((Inputs!$E$3*(1+Inputs!$E$4)^(8-1))*Inputs!$E$5)*Inputs!$E$6)+((Inputs!$E$7*(1+Inputs!$E$8)^(8-1))*Inputs!$E$9)+(Inputs!$E$11*(1+Inputs!$E$12)^(8-1))+(IF(8&lt;Inputs!$E$13,0,Inputs!$E$14*(1+Inputs!$E$15)^(8-Inputs!$E$13)*Inputs!$E$16))))-(((((((Inputs!$E$3*(1+Inputs!$E$4)^(8-1))*Inputs!$E$5)*Inputs!$E$6)+((Inputs!$E$7*(1+Inputs!$E$8)^(8-1))*Inputs!$E$9)+(Inputs!$E$11*(1+Inputs!$E$12)^(8-1))+(IF(8&lt;Inputs!$E$13,0,Inputs!$E$14*(1+Inputs!$E$15)^(8-Inputs!$E$13)*Inputs!$E$16))))*Inputs!$E$26+((((Inputs!$E$3*(1+Inputs!$E$4)^(8-1))*Inputs!$E$5)*Inputs!$E$6)+((Inputs!$E$7*(1+Inputs!$E$8)^(8-1))*Inputs!$E$9)+(IF(8&lt;Inputs!$E$13,0,Inputs!$E$14*(1+Inputs!$E$15)^(8-Inputs!$E$13)*Inputs!$E$16)))*Inputs!$E$27+(Inputs!$E$3*(1+Inputs!$E$4)^(8-1))*Inputs!$E$30))-(((Inputs!$E$7*(1+Inputs!$E$8)^(8-1))*Inputs!$E$10))-(((((((Inputs!$E$3*(1+Inputs!$E$4)^(8-1))*Inputs!$E$5)*Inputs!$E$6)+((Inputs!$E$7*(1+Inputs!$E$8)^(8-1))*Inputs!$E$9)+(Inputs!$E$11*(1+Inputs!$E$12)^(8-1))+(IF(8&lt;Inputs!$E$13,0,Inputs!$E$14*(1+Inputs!$E$15)^(8-Inputs!$E$13)*Inputs!$E$16))))*Inputs!$E$29))-((Inputs!$E$19+Inputs!$E$20+Inputs!$E$21+(Inputs!$E$22*$C9)+Inputs!$E$23))-(IF(AND(Inputs!$E$24&gt;0,8=Inputs!$E$24),Inputs!$E$25,0)))),0)*Inputs!$E$28))))+(IF(AND(Inputs!$E$17&gt;0,8=Inputs!$E$17),Inputs!$E$18,0))))</f>
        <v/>
      </c>
      <c r="O9" s="8">
        <f>N9+(((((((((Inputs!$E$3*(1+Inputs!$E$4)^(9-1))*Inputs!$E$5)*Inputs!$E$6)+((Inputs!$E$7*(1+Inputs!$E$8)^(9-1))*Inputs!$E$9)+(Inputs!$E$11*(1+Inputs!$E$12)^(9-1))+(IF(9&lt;Inputs!$E$13,0,Inputs!$E$14*(1+Inputs!$E$15)^(9-Inputs!$E$13)*Inputs!$E$16))))-(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+(((Inputs!$E$7*(1+Inputs!$E$8)^(9-1))*Inputs!$E$10))+(((((((Inputs!$E$3*(1+Inputs!$E$4)^(9-1))*Inputs!$E$5)*Inputs!$E$6)+((Inputs!$E$7*(1+Inputs!$E$8)^(9-1))*Inputs!$E$9)+(Inputs!$E$11*(1+Inputs!$E$12)^(9-1))+(IF(9&lt;Inputs!$E$13,0,Inputs!$E$14*(1+Inputs!$E$15)^(9-Inputs!$E$13)*Inputs!$E$16))))*Inputs!$E$29))+((Inputs!$E$19+Inputs!$E$20+Inputs!$E$21+(Inputs!$E$22*$C9)+Inputs!$E$23))+(IF(AND(Inputs!$E$24&gt;0,9=Inputs!$E$24),Inputs!$E$25,0))+(MAX((((((((Inputs!$E$3*(1+Inputs!$E$4)^(9-1))*Inputs!$E$5)*Inputs!$E$6)+((Inputs!$E$7*(1+Inputs!$E$8)^(9-1))*Inputs!$E$9)+(Inputs!$E$11*(1+Inputs!$E$12)^(9-1))+(IF(9&lt;Inputs!$E$13,0,Inputs!$E$14*(1+Inputs!$E$15)^(9-Inputs!$E$13)*Inputs!$E$16))))-(((((((Inputs!$E$3*(1+Inputs!$E$4)^(9-1))*Inputs!$E$5)*Inputs!$E$6)+((Inputs!$E$7*(1+Inputs!$E$8)^(9-1))*Inputs!$E$9)+(Inputs!$E$11*(1+Inputs!$E$12)^(9-1))+(IF(9&lt;Inputs!$E$13,0,Inputs!$E$14*(1+Inputs!$E$15)^(9-Inputs!$E$13)*Inputs!$E$16))))*Inputs!$E$26+((((Inputs!$E$3*(1+Inputs!$E$4)^(9-1))*Inputs!$E$5)*Inputs!$E$6)+((Inputs!$E$7*(1+Inputs!$E$8)^(9-1))*Inputs!$E$9)+(IF(9&lt;Inputs!$E$13,0,Inputs!$E$14*(1+Inputs!$E$15)^(9-Inputs!$E$13)*Inputs!$E$16)))*Inputs!$E$27+(Inputs!$E$3*(1+Inputs!$E$4)^(9-1))*Inputs!$E$30))-(((Inputs!$E$7*(1+Inputs!$E$8)^(9-1))*Inputs!$E$10))-(((((((Inputs!$E$3*(1+Inputs!$E$4)^(9-1))*Inputs!$E$5)*Inputs!$E$6)+((Inputs!$E$7*(1+Inputs!$E$8)^(9-1))*Inputs!$E$9)+(Inputs!$E$11*(1+Inputs!$E$12)^(9-1))+(IF(9&lt;Inputs!$E$13,0,Inputs!$E$14*(1+Inputs!$E$15)^(9-Inputs!$E$13)*Inputs!$E$16))))*Inputs!$E$29))-((Inputs!$E$19+Inputs!$E$20+Inputs!$E$21+(Inputs!$E$22*$C9)+Inputs!$E$23))-(IF(AND(Inputs!$E$24&gt;0,9=Inputs!$E$24),Inputs!$E$25,0)))),0)*Inputs!$E$28))))+(IF(AND(Inputs!$E$17&gt;0,9=Inputs!$E$17),Inputs!$E$18,0))))</f>
        <v/>
      </c>
      <c r="P9" s="8">
        <f>O9+(((((((((Inputs!$E$3*(1+Inputs!$E$4)^(10-1))*Inputs!$E$5)*Inputs!$E$6)+((Inputs!$E$7*(1+Inputs!$E$8)^(10-1))*Inputs!$E$9)+(Inputs!$E$11*(1+Inputs!$E$12)^(10-1))+(IF(10&lt;Inputs!$E$13,0,Inputs!$E$14*(1+Inputs!$E$15)^(10-Inputs!$E$13)*Inputs!$E$16))))-(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+(((Inputs!$E$7*(1+Inputs!$E$8)^(10-1))*Inputs!$E$10))+(((((((Inputs!$E$3*(1+Inputs!$E$4)^(10-1))*Inputs!$E$5)*Inputs!$E$6)+((Inputs!$E$7*(1+Inputs!$E$8)^(10-1))*Inputs!$E$9)+(Inputs!$E$11*(1+Inputs!$E$12)^(10-1))+(IF(10&lt;Inputs!$E$13,0,Inputs!$E$14*(1+Inputs!$E$15)^(10-Inputs!$E$13)*Inputs!$E$16))))*Inputs!$E$29))+((Inputs!$E$19+Inputs!$E$20+Inputs!$E$21+(Inputs!$E$22*$C9)+Inputs!$E$23))+(IF(AND(Inputs!$E$24&gt;0,10=Inputs!$E$24),Inputs!$E$25,0))+(MAX((((((((Inputs!$E$3*(1+Inputs!$E$4)^(10-1))*Inputs!$E$5)*Inputs!$E$6)+((Inputs!$E$7*(1+Inputs!$E$8)^(10-1))*Inputs!$E$9)+(Inputs!$E$11*(1+Inputs!$E$12)^(10-1))+(IF(10&lt;Inputs!$E$13,0,Inputs!$E$14*(1+Inputs!$E$15)^(10-Inputs!$E$13)*Inputs!$E$16))))-(((((((Inputs!$E$3*(1+Inputs!$E$4)^(10-1))*Inputs!$E$5)*Inputs!$E$6)+((Inputs!$E$7*(1+Inputs!$E$8)^(10-1))*Inputs!$E$9)+(Inputs!$E$11*(1+Inputs!$E$12)^(10-1))+(IF(10&lt;Inputs!$E$13,0,Inputs!$E$14*(1+Inputs!$E$15)^(10-Inputs!$E$13)*Inputs!$E$16))))*Inputs!$E$26+((((Inputs!$E$3*(1+Inputs!$E$4)^(10-1))*Inputs!$E$5)*Inputs!$E$6)+((Inputs!$E$7*(1+Inputs!$E$8)^(10-1))*Inputs!$E$9)+(IF(10&lt;Inputs!$E$13,0,Inputs!$E$14*(1+Inputs!$E$15)^(10-Inputs!$E$13)*Inputs!$E$16)))*Inputs!$E$27+(Inputs!$E$3*(1+Inputs!$E$4)^(10-1))*Inputs!$E$30))-(((Inputs!$E$7*(1+Inputs!$E$8)^(10-1))*Inputs!$E$10))-(((((((Inputs!$E$3*(1+Inputs!$E$4)^(10-1))*Inputs!$E$5)*Inputs!$E$6)+((Inputs!$E$7*(1+Inputs!$E$8)^(10-1))*Inputs!$E$9)+(Inputs!$E$11*(1+Inputs!$E$12)^(10-1))+(IF(10&lt;Inputs!$E$13,0,Inputs!$E$14*(1+Inputs!$E$15)^(10-Inputs!$E$13)*Inputs!$E$16))))*Inputs!$E$29))-((Inputs!$E$19+Inputs!$E$20+Inputs!$E$21+(Inputs!$E$22*$C9)+Inputs!$E$23))-(IF(AND(Inputs!$E$24&gt;0,10=Inputs!$E$24),Inputs!$E$25,0)))),0)*Inputs!$E$28))))+(IF(AND(Inputs!$E$17&gt;0,10=Inputs!$E$17),Inputs!$E$18,0))))</f>
        <v/>
      </c>
      <c r="Q9" s="8">
        <f>P9+(((((((((Inputs!$E$3*(1+Inputs!$E$4)^(11-1))*Inputs!$E$5)*Inputs!$E$6)+((Inputs!$E$7*(1+Inputs!$E$8)^(11-1))*Inputs!$E$9)+(Inputs!$E$11*(1+Inputs!$E$12)^(11-1))+(IF(11&lt;Inputs!$E$13,0,Inputs!$E$14*(1+Inputs!$E$15)^(11-Inputs!$E$13)*Inputs!$E$16))))-(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+(((Inputs!$E$7*(1+Inputs!$E$8)^(11-1))*Inputs!$E$10))+(((((((Inputs!$E$3*(1+Inputs!$E$4)^(11-1))*Inputs!$E$5)*Inputs!$E$6)+((Inputs!$E$7*(1+Inputs!$E$8)^(11-1))*Inputs!$E$9)+(Inputs!$E$11*(1+Inputs!$E$12)^(11-1))+(IF(11&lt;Inputs!$E$13,0,Inputs!$E$14*(1+Inputs!$E$15)^(11-Inputs!$E$13)*Inputs!$E$16))))*Inputs!$E$29))+((Inputs!$E$19+Inputs!$E$20+Inputs!$E$21+(Inputs!$E$22*$C9)+Inputs!$E$23))+(IF(AND(Inputs!$E$24&gt;0,11=Inputs!$E$24),Inputs!$E$25,0))+(MAX((((((((Inputs!$E$3*(1+Inputs!$E$4)^(11-1))*Inputs!$E$5)*Inputs!$E$6)+((Inputs!$E$7*(1+Inputs!$E$8)^(11-1))*Inputs!$E$9)+(Inputs!$E$11*(1+Inputs!$E$12)^(11-1))+(IF(11&lt;Inputs!$E$13,0,Inputs!$E$14*(1+Inputs!$E$15)^(11-Inputs!$E$13)*Inputs!$E$16))))-(((((((Inputs!$E$3*(1+Inputs!$E$4)^(11-1))*Inputs!$E$5)*Inputs!$E$6)+((Inputs!$E$7*(1+Inputs!$E$8)^(11-1))*Inputs!$E$9)+(Inputs!$E$11*(1+Inputs!$E$12)^(11-1))+(IF(11&lt;Inputs!$E$13,0,Inputs!$E$14*(1+Inputs!$E$15)^(11-Inputs!$E$13)*Inputs!$E$16))))*Inputs!$E$26+((((Inputs!$E$3*(1+Inputs!$E$4)^(11-1))*Inputs!$E$5)*Inputs!$E$6)+((Inputs!$E$7*(1+Inputs!$E$8)^(11-1))*Inputs!$E$9)+(IF(11&lt;Inputs!$E$13,0,Inputs!$E$14*(1+Inputs!$E$15)^(11-Inputs!$E$13)*Inputs!$E$16)))*Inputs!$E$27+(Inputs!$E$3*(1+Inputs!$E$4)^(11-1))*Inputs!$E$30))-(((Inputs!$E$7*(1+Inputs!$E$8)^(11-1))*Inputs!$E$10))-(((((((Inputs!$E$3*(1+Inputs!$E$4)^(11-1))*Inputs!$E$5)*Inputs!$E$6)+((Inputs!$E$7*(1+Inputs!$E$8)^(11-1))*Inputs!$E$9)+(Inputs!$E$11*(1+Inputs!$E$12)^(11-1))+(IF(11&lt;Inputs!$E$13,0,Inputs!$E$14*(1+Inputs!$E$15)^(11-Inputs!$E$13)*Inputs!$E$16))))*Inputs!$E$29))-((Inputs!$E$19+Inputs!$E$20+Inputs!$E$21+(Inputs!$E$22*$C9)+Inputs!$E$23))-(IF(AND(Inputs!$E$24&gt;0,11=Inputs!$E$24),Inputs!$E$25,0)))),0)*Inputs!$E$28))))+(IF(AND(Inputs!$E$17&gt;0,11=Inputs!$E$17),Inputs!$E$18,0))))</f>
        <v/>
      </c>
      <c r="R9" s="8">
        <f>Q9+(((((((((Inputs!$E$3*(1+Inputs!$E$4)^(12-1))*Inputs!$E$5)*Inputs!$E$6)+((Inputs!$E$7*(1+Inputs!$E$8)^(12-1))*Inputs!$E$9)+(Inputs!$E$11*(1+Inputs!$E$12)^(12-1))+(IF(12&lt;Inputs!$E$13,0,Inputs!$E$14*(1+Inputs!$E$15)^(12-Inputs!$E$13)*Inputs!$E$16))))-(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+(((Inputs!$E$7*(1+Inputs!$E$8)^(12-1))*Inputs!$E$10))+(((((((Inputs!$E$3*(1+Inputs!$E$4)^(12-1))*Inputs!$E$5)*Inputs!$E$6)+((Inputs!$E$7*(1+Inputs!$E$8)^(12-1))*Inputs!$E$9)+(Inputs!$E$11*(1+Inputs!$E$12)^(12-1))+(IF(12&lt;Inputs!$E$13,0,Inputs!$E$14*(1+Inputs!$E$15)^(12-Inputs!$E$13)*Inputs!$E$16))))*Inputs!$E$29))+((Inputs!$E$19+Inputs!$E$20+Inputs!$E$21+(Inputs!$E$22*$C9)+Inputs!$E$23))+(IF(AND(Inputs!$E$24&gt;0,12=Inputs!$E$24),Inputs!$E$25,0))+(MAX((((((((Inputs!$E$3*(1+Inputs!$E$4)^(12-1))*Inputs!$E$5)*Inputs!$E$6)+((Inputs!$E$7*(1+Inputs!$E$8)^(12-1))*Inputs!$E$9)+(Inputs!$E$11*(1+Inputs!$E$12)^(12-1))+(IF(12&lt;Inputs!$E$13,0,Inputs!$E$14*(1+Inputs!$E$15)^(12-Inputs!$E$13)*Inputs!$E$16))))-(((((((Inputs!$E$3*(1+Inputs!$E$4)^(12-1))*Inputs!$E$5)*Inputs!$E$6)+((Inputs!$E$7*(1+Inputs!$E$8)^(12-1))*Inputs!$E$9)+(Inputs!$E$11*(1+Inputs!$E$12)^(12-1))+(IF(12&lt;Inputs!$E$13,0,Inputs!$E$14*(1+Inputs!$E$15)^(12-Inputs!$E$13)*Inputs!$E$16))))*Inputs!$E$26+((((Inputs!$E$3*(1+Inputs!$E$4)^(12-1))*Inputs!$E$5)*Inputs!$E$6)+((Inputs!$E$7*(1+Inputs!$E$8)^(12-1))*Inputs!$E$9)+(IF(12&lt;Inputs!$E$13,0,Inputs!$E$14*(1+Inputs!$E$15)^(12-Inputs!$E$13)*Inputs!$E$16)))*Inputs!$E$27+(Inputs!$E$3*(1+Inputs!$E$4)^(12-1))*Inputs!$E$30))-(((Inputs!$E$7*(1+Inputs!$E$8)^(12-1))*Inputs!$E$10))-(((((((Inputs!$E$3*(1+Inputs!$E$4)^(12-1))*Inputs!$E$5)*Inputs!$E$6)+((Inputs!$E$7*(1+Inputs!$E$8)^(12-1))*Inputs!$E$9)+(Inputs!$E$11*(1+Inputs!$E$12)^(12-1))+(IF(12&lt;Inputs!$E$13,0,Inputs!$E$14*(1+Inputs!$E$15)^(12-Inputs!$E$13)*Inputs!$E$16))))*Inputs!$E$29))-((Inputs!$E$19+Inputs!$E$20+Inputs!$E$21+(Inputs!$E$22*$C9)+Inputs!$E$23))-(IF(AND(Inputs!$E$24&gt;0,12=Inputs!$E$24),Inputs!$E$25,0)))),0)*Inputs!$E$28))))+(IF(AND(Inputs!$E$17&gt;0,12=Inputs!$E$17),Inputs!$E$18,0))))</f>
        <v/>
      </c>
      <c r="S9" s="8">
        <f>R9+(((((((((Inputs!$E$3*(1+Inputs!$E$4)^(13-1))*Inputs!$E$5)*Inputs!$E$6)+((Inputs!$E$7*(1+Inputs!$E$8)^(13-1))*Inputs!$E$9)+(Inputs!$E$11*(1+Inputs!$E$12)^(13-1))+(IF(13&lt;Inputs!$E$13,0,Inputs!$E$14*(1+Inputs!$E$15)^(13-Inputs!$E$13)*Inputs!$E$16))))-(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+(((Inputs!$E$7*(1+Inputs!$E$8)^(13-1))*Inputs!$E$10))+(((((((Inputs!$E$3*(1+Inputs!$E$4)^(13-1))*Inputs!$E$5)*Inputs!$E$6)+((Inputs!$E$7*(1+Inputs!$E$8)^(13-1))*Inputs!$E$9)+(Inputs!$E$11*(1+Inputs!$E$12)^(13-1))+(IF(13&lt;Inputs!$E$13,0,Inputs!$E$14*(1+Inputs!$E$15)^(13-Inputs!$E$13)*Inputs!$E$16))))*Inputs!$E$29))+((Inputs!$E$19+Inputs!$E$20+Inputs!$E$21+(Inputs!$E$22*$C9)+Inputs!$E$23))+(IF(AND(Inputs!$E$24&gt;0,13=Inputs!$E$24),Inputs!$E$25,0))+(MAX((((((((Inputs!$E$3*(1+Inputs!$E$4)^(13-1))*Inputs!$E$5)*Inputs!$E$6)+((Inputs!$E$7*(1+Inputs!$E$8)^(13-1))*Inputs!$E$9)+(Inputs!$E$11*(1+Inputs!$E$12)^(13-1))+(IF(13&lt;Inputs!$E$13,0,Inputs!$E$14*(1+Inputs!$E$15)^(13-Inputs!$E$13)*Inputs!$E$16))))-(((((((Inputs!$E$3*(1+Inputs!$E$4)^(13-1))*Inputs!$E$5)*Inputs!$E$6)+((Inputs!$E$7*(1+Inputs!$E$8)^(13-1))*Inputs!$E$9)+(Inputs!$E$11*(1+Inputs!$E$12)^(13-1))+(IF(13&lt;Inputs!$E$13,0,Inputs!$E$14*(1+Inputs!$E$15)^(13-Inputs!$E$13)*Inputs!$E$16))))*Inputs!$E$26+((((Inputs!$E$3*(1+Inputs!$E$4)^(13-1))*Inputs!$E$5)*Inputs!$E$6)+((Inputs!$E$7*(1+Inputs!$E$8)^(13-1))*Inputs!$E$9)+(IF(13&lt;Inputs!$E$13,0,Inputs!$E$14*(1+Inputs!$E$15)^(13-Inputs!$E$13)*Inputs!$E$16)))*Inputs!$E$27+(Inputs!$E$3*(1+Inputs!$E$4)^(13-1))*Inputs!$E$30))-(((Inputs!$E$7*(1+Inputs!$E$8)^(13-1))*Inputs!$E$10))-(((((((Inputs!$E$3*(1+Inputs!$E$4)^(13-1))*Inputs!$E$5)*Inputs!$E$6)+((Inputs!$E$7*(1+Inputs!$E$8)^(13-1))*Inputs!$E$9)+(Inputs!$E$11*(1+Inputs!$E$12)^(13-1))+(IF(13&lt;Inputs!$E$13,0,Inputs!$E$14*(1+Inputs!$E$15)^(13-Inputs!$E$13)*Inputs!$E$16))))*Inputs!$E$29))-((Inputs!$E$19+Inputs!$E$20+Inputs!$E$21+(Inputs!$E$22*$C9)+Inputs!$E$23))-(IF(AND(Inputs!$E$24&gt;0,13=Inputs!$E$24),Inputs!$E$25,0)))),0)*Inputs!$E$28))))+(IF(AND(Inputs!$E$17&gt;0,13=Inputs!$E$17),Inputs!$E$18,0))))</f>
        <v/>
      </c>
      <c r="T9" s="8">
        <f>S9+(((((((((Inputs!$E$3*(1+Inputs!$E$4)^(14-1))*Inputs!$E$5)*Inputs!$E$6)+((Inputs!$E$7*(1+Inputs!$E$8)^(14-1))*Inputs!$E$9)+(Inputs!$E$11*(1+Inputs!$E$12)^(14-1))+(IF(14&lt;Inputs!$E$13,0,Inputs!$E$14*(1+Inputs!$E$15)^(14-Inputs!$E$13)*Inputs!$E$16))))-(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+(((Inputs!$E$7*(1+Inputs!$E$8)^(14-1))*Inputs!$E$10))+(((((((Inputs!$E$3*(1+Inputs!$E$4)^(14-1))*Inputs!$E$5)*Inputs!$E$6)+((Inputs!$E$7*(1+Inputs!$E$8)^(14-1))*Inputs!$E$9)+(Inputs!$E$11*(1+Inputs!$E$12)^(14-1))+(IF(14&lt;Inputs!$E$13,0,Inputs!$E$14*(1+Inputs!$E$15)^(14-Inputs!$E$13)*Inputs!$E$16))))*Inputs!$E$29))+((Inputs!$E$19+Inputs!$E$20+Inputs!$E$21+(Inputs!$E$22*$C9)+Inputs!$E$23))+(IF(AND(Inputs!$E$24&gt;0,14=Inputs!$E$24),Inputs!$E$25,0))+(MAX((((((((Inputs!$E$3*(1+Inputs!$E$4)^(14-1))*Inputs!$E$5)*Inputs!$E$6)+((Inputs!$E$7*(1+Inputs!$E$8)^(14-1))*Inputs!$E$9)+(Inputs!$E$11*(1+Inputs!$E$12)^(14-1))+(IF(14&lt;Inputs!$E$13,0,Inputs!$E$14*(1+Inputs!$E$15)^(14-Inputs!$E$13)*Inputs!$E$16))))-(((((((Inputs!$E$3*(1+Inputs!$E$4)^(14-1))*Inputs!$E$5)*Inputs!$E$6)+((Inputs!$E$7*(1+Inputs!$E$8)^(14-1))*Inputs!$E$9)+(Inputs!$E$11*(1+Inputs!$E$12)^(14-1))+(IF(14&lt;Inputs!$E$13,0,Inputs!$E$14*(1+Inputs!$E$15)^(14-Inputs!$E$13)*Inputs!$E$16))))*Inputs!$E$26+((((Inputs!$E$3*(1+Inputs!$E$4)^(14-1))*Inputs!$E$5)*Inputs!$E$6)+((Inputs!$E$7*(1+Inputs!$E$8)^(14-1))*Inputs!$E$9)+(IF(14&lt;Inputs!$E$13,0,Inputs!$E$14*(1+Inputs!$E$15)^(14-Inputs!$E$13)*Inputs!$E$16)))*Inputs!$E$27+(Inputs!$E$3*(1+Inputs!$E$4)^(14-1))*Inputs!$E$30))-(((Inputs!$E$7*(1+Inputs!$E$8)^(14-1))*Inputs!$E$10))-(((((((Inputs!$E$3*(1+Inputs!$E$4)^(14-1))*Inputs!$E$5)*Inputs!$E$6)+((Inputs!$E$7*(1+Inputs!$E$8)^(14-1))*Inputs!$E$9)+(Inputs!$E$11*(1+Inputs!$E$12)^(14-1))+(IF(14&lt;Inputs!$E$13,0,Inputs!$E$14*(1+Inputs!$E$15)^(14-Inputs!$E$13)*Inputs!$E$16))))*Inputs!$E$29))-((Inputs!$E$19+Inputs!$E$20+Inputs!$E$21+(Inputs!$E$22*$C9)+Inputs!$E$23))-(IF(AND(Inputs!$E$24&gt;0,14=Inputs!$E$24),Inputs!$E$25,0)))),0)*Inputs!$E$28))))+(IF(AND(Inputs!$E$17&gt;0,14=Inputs!$E$17),Inputs!$E$18,0))))</f>
        <v/>
      </c>
      <c r="U9" s="8">
        <f>T9+(((((((((Inputs!$E$3*(1+Inputs!$E$4)^(15-1))*Inputs!$E$5)*Inputs!$E$6)+((Inputs!$E$7*(1+Inputs!$E$8)^(15-1))*Inputs!$E$9)+(Inputs!$E$11*(1+Inputs!$E$12)^(15-1))+(IF(15&lt;Inputs!$E$13,0,Inputs!$E$14*(1+Inputs!$E$15)^(15-Inputs!$E$13)*Inputs!$E$16))))-(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+(((Inputs!$E$7*(1+Inputs!$E$8)^(15-1))*Inputs!$E$10))+(((((((Inputs!$E$3*(1+Inputs!$E$4)^(15-1))*Inputs!$E$5)*Inputs!$E$6)+((Inputs!$E$7*(1+Inputs!$E$8)^(15-1))*Inputs!$E$9)+(Inputs!$E$11*(1+Inputs!$E$12)^(15-1))+(IF(15&lt;Inputs!$E$13,0,Inputs!$E$14*(1+Inputs!$E$15)^(15-Inputs!$E$13)*Inputs!$E$16))))*Inputs!$E$29))+((Inputs!$E$19+Inputs!$E$20+Inputs!$E$21+(Inputs!$E$22*$C9)+Inputs!$E$23))+(IF(AND(Inputs!$E$24&gt;0,15=Inputs!$E$24),Inputs!$E$25,0))+(MAX((((((((Inputs!$E$3*(1+Inputs!$E$4)^(15-1))*Inputs!$E$5)*Inputs!$E$6)+((Inputs!$E$7*(1+Inputs!$E$8)^(15-1))*Inputs!$E$9)+(Inputs!$E$11*(1+Inputs!$E$12)^(15-1))+(IF(15&lt;Inputs!$E$13,0,Inputs!$E$14*(1+Inputs!$E$15)^(15-Inputs!$E$13)*Inputs!$E$16))))-(((((((Inputs!$E$3*(1+Inputs!$E$4)^(15-1))*Inputs!$E$5)*Inputs!$E$6)+((Inputs!$E$7*(1+Inputs!$E$8)^(15-1))*Inputs!$E$9)+(Inputs!$E$11*(1+Inputs!$E$12)^(15-1))+(IF(15&lt;Inputs!$E$13,0,Inputs!$E$14*(1+Inputs!$E$15)^(15-Inputs!$E$13)*Inputs!$E$16))))*Inputs!$E$26+((((Inputs!$E$3*(1+Inputs!$E$4)^(15-1))*Inputs!$E$5)*Inputs!$E$6)+((Inputs!$E$7*(1+Inputs!$E$8)^(15-1))*Inputs!$E$9)+(IF(15&lt;Inputs!$E$13,0,Inputs!$E$14*(1+Inputs!$E$15)^(15-Inputs!$E$13)*Inputs!$E$16)))*Inputs!$E$27+(Inputs!$E$3*(1+Inputs!$E$4)^(15-1))*Inputs!$E$30))-(((Inputs!$E$7*(1+Inputs!$E$8)^(15-1))*Inputs!$E$10))-(((((((Inputs!$E$3*(1+Inputs!$E$4)^(15-1))*Inputs!$E$5)*Inputs!$E$6)+((Inputs!$E$7*(1+Inputs!$E$8)^(15-1))*Inputs!$E$9)+(Inputs!$E$11*(1+Inputs!$E$12)^(15-1))+(IF(15&lt;Inputs!$E$13,0,Inputs!$E$14*(1+Inputs!$E$15)^(15-Inputs!$E$13)*Inputs!$E$16))))*Inputs!$E$29))-((Inputs!$E$19+Inputs!$E$20+Inputs!$E$21+(Inputs!$E$22*$C9)+Inputs!$E$23))-(IF(AND(Inputs!$E$24&gt;0,15=Inputs!$E$24),Inputs!$E$25,0)))),0)*Inputs!$E$28))))+(IF(AND(Inputs!$E$17&gt;0,15=Inputs!$E$17),Inputs!$E$18,0))))</f>
        <v/>
      </c>
      <c r="V9" s="8">
        <f>U9+(((((((((Inputs!$E$3*(1+Inputs!$E$4)^(16-1))*Inputs!$E$5)*Inputs!$E$6)+((Inputs!$E$7*(1+Inputs!$E$8)^(16-1))*Inputs!$E$9)+(Inputs!$E$11*(1+Inputs!$E$12)^(16-1))+(IF(16&lt;Inputs!$E$13,0,Inputs!$E$14*(1+Inputs!$E$15)^(16-Inputs!$E$13)*Inputs!$E$16))))-(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+(((Inputs!$E$7*(1+Inputs!$E$8)^(16-1))*Inputs!$E$10))+(((((((Inputs!$E$3*(1+Inputs!$E$4)^(16-1))*Inputs!$E$5)*Inputs!$E$6)+((Inputs!$E$7*(1+Inputs!$E$8)^(16-1))*Inputs!$E$9)+(Inputs!$E$11*(1+Inputs!$E$12)^(16-1))+(IF(16&lt;Inputs!$E$13,0,Inputs!$E$14*(1+Inputs!$E$15)^(16-Inputs!$E$13)*Inputs!$E$16))))*Inputs!$E$29))+((Inputs!$E$19+Inputs!$E$20+Inputs!$E$21+(Inputs!$E$22*$C9)+Inputs!$E$23))+(IF(AND(Inputs!$E$24&gt;0,16=Inputs!$E$24),Inputs!$E$25,0))+(MAX((((((((Inputs!$E$3*(1+Inputs!$E$4)^(16-1))*Inputs!$E$5)*Inputs!$E$6)+((Inputs!$E$7*(1+Inputs!$E$8)^(16-1))*Inputs!$E$9)+(Inputs!$E$11*(1+Inputs!$E$12)^(16-1))+(IF(16&lt;Inputs!$E$13,0,Inputs!$E$14*(1+Inputs!$E$15)^(16-Inputs!$E$13)*Inputs!$E$16))))-(((((((Inputs!$E$3*(1+Inputs!$E$4)^(16-1))*Inputs!$E$5)*Inputs!$E$6)+((Inputs!$E$7*(1+Inputs!$E$8)^(16-1))*Inputs!$E$9)+(Inputs!$E$11*(1+Inputs!$E$12)^(16-1))+(IF(16&lt;Inputs!$E$13,0,Inputs!$E$14*(1+Inputs!$E$15)^(16-Inputs!$E$13)*Inputs!$E$16))))*Inputs!$E$26+((((Inputs!$E$3*(1+Inputs!$E$4)^(16-1))*Inputs!$E$5)*Inputs!$E$6)+((Inputs!$E$7*(1+Inputs!$E$8)^(16-1))*Inputs!$E$9)+(IF(16&lt;Inputs!$E$13,0,Inputs!$E$14*(1+Inputs!$E$15)^(16-Inputs!$E$13)*Inputs!$E$16)))*Inputs!$E$27+(Inputs!$E$3*(1+Inputs!$E$4)^(16-1))*Inputs!$E$30))-(((Inputs!$E$7*(1+Inputs!$E$8)^(16-1))*Inputs!$E$10))-(((((((Inputs!$E$3*(1+Inputs!$E$4)^(16-1))*Inputs!$E$5)*Inputs!$E$6)+((Inputs!$E$7*(1+Inputs!$E$8)^(16-1))*Inputs!$E$9)+(Inputs!$E$11*(1+Inputs!$E$12)^(16-1))+(IF(16&lt;Inputs!$E$13,0,Inputs!$E$14*(1+Inputs!$E$15)^(16-Inputs!$E$13)*Inputs!$E$16))))*Inputs!$E$29))-((Inputs!$E$19+Inputs!$E$20+Inputs!$E$21+(Inputs!$E$22*$C9)+Inputs!$E$23))-(IF(AND(Inputs!$E$24&gt;0,16=Inputs!$E$24),Inputs!$E$25,0)))),0)*Inputs!$E$28))))+(IF(AND(Inputs!$E$17&gt;0,16=Inputs!$E$17),Inputs!$E$18,0))))</f>
        <v/>
      </c>
      <c r="W9" s="8">
        <f>V9+(((((((((Inputs!$E$3*(1+Inputs!$E$4)^(17-1))*Inputs!$E$5)*Inputs!$E$6)+((Inputs!$E$7*(1+Inputs!$E$8)^(17-1))*Inputs!$E$9)+(Inputs!$E$11*(1+Inputs!$E$12)^(17-1))+(IF(17&lt;Inputs!$E$13,0,Inputs!$E$14*(1+Inputs!$E$15)^(17-Inputs!$E$13)*Inputs!$E$16))))-(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+(((Inputs!$E$7*(1+Inputs!$E$8)^(17-1))*Inputs!$E$10))+(((((((Inputs!$E$3*(1+Inputs!$E$4)^(17-1))*Inputs!$E$5)*Inputs!$E$6)+((Inputs!$E$7*(1+Inputs!$E$8)^(17-1))*Inputs!$E$9)+(Inputs!$E$11*(1+Inputs!$E$12)^(17-1))+(IF(17&lt;Inputs!$E$13,0,Inputs!$E$14*(1+Inputs!$E$15)^(17-Inputs!$E$13)*Inputs!$E$16))))*Inputs!$E$29))+((Inputs!$E$19+Inputs!$E$20+Inputs!$E$21+(Inputs!$E$22*$C9)+Inputs!$E$23))+(IF(AND(Inputs!$E$24&gt;0,17=Inputs!$E$24),Inputs!$E$25,0))+(MAX((((((((Inputs!$E$3*(1+Inputs!$E$4)^(17-1))*Inputs!$E$5)*Inputs!$E$6)+((Inputs!$E$7*(1+Inputs!$E$8)^(17-1))*Inputs!$E$9)+(Inputs!$E$11*(1+Inputs!$E$12)^(17-1))+(IF(17&lt;Inputs!$E$13,0,Inputs!$E$14*(1+Inputs!$E$15)^(17-Inputs!$E$13)*Inputs!$E$16))))-(((((((Inputs!$E$3*(1+Inputs!$E$4)^(17-1))*Inputs!$E$5)*Inputs!$E$6)+((Inputs!$E$7*(1+Inputs!$E$8)^(17-1))*Inputs!$E$9)+(Inputs!$E$11*(1+Inputs!$E$12)^(17-1))+(IF(17&lt;Inputs!$E$13,0,Inputs!$E$14*(1+Inputs!$E$15)^(17-Inputs!$E$13)*Inputs!$E$16))))*Inputs!$E$26+((((Inputs!$E$3*(1+Inputs!$E$4)^(17-1))*Inputs!$E$5)*Inputs!$E$6)+((Inputs!$E$7*(1+Inputs!$E$8)^(17-1))*Inputs!$E$9)+(IF(17&lt;Inputs!$E$13,0,Inputs!$E$14*(1+Inputs!$E$15)^(17-Inputs!$E$13)*Inputs!$E$16)))*Inputs!$E$27+(Inputs!$E$3*(1+Inputs!$E$4)^(17-1))*Inputs!$E$30))-(((Inputs!$E$7*(1+Inputs!$E$8)^(17-1))*Inputs!$E$10))-(((((((Inputs!$E$3*(1+Inputs!$E$4)^(17-1))*Inputs!$E$5)*Inputs!$E$6)+((Inputs!$E$7*(1+Inputs!$E$8)^(17-1))*Inputs!$E$9)+(Inputs!$E$11*(1+Inputs!$E$12)^(17-1))+(IF(17&lt;Inputs!$E$13,0,Inputs!$E$14*(1+Inputs!$E$15)^(17-Inputs!$E$13)*Inputs!$E$16))))*Inputs!$E$29))-((Inputs!$E$19+Inputs!$E$20+Inputs!$E$21+(Inputs!$E$22*$C9)+Inputs!$E$23))-(IF(AND(Inputs!$E$24&gt;0,17=Inputs!$E$24),Inputs!$E$25,0)))),0)*Inputs!$E$28))))+(IF(AND(Inputs!$E$17&gt;0,17=Inputs!$E$17),Inputs!$E$18,0))))</f>
        <v/>
      </c>
      <c r="X9" s="8">
        <f>W9+(((((((((Inputs!$E$3*(1+Inputs!$E$4)^(18-1))*Inputs!$E$5)*Inputs!$E$6)+((Inputs!$E$7*(1+Inputs!$E$8)^(18-1))*Inputs!$E$9)+(Inputs!$E$11*(1+Inputs!$E$12)^(18-1))+(IF(18&lt;Inputs!$E$13,0,Inputs!$E$14*(1+Inputs!$E$15)^(18-Inputs!$E$13)*Inputs!$E$16))))-(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+(((Inputs!$E$7*(1+Inputs!$E$8)^(18-1))*Inputs!$E$10))+(((((((Inputs!$E$3*(1+Inputs!$E$4)^(18-1))*Inputs!$E$5)*Inputs!$E$6)+((Inputs!$E$7*(1+Inputs!$E$8)^(18-1))*Inputs!$E$9)+(Inputs!$E$11*(1+Inputs!$E$12)^(18-1))+(IF(18&lt;Inputs!$E$13,0,Inputs!$E$14*(1+Inputs!$E$15)^(18-Inputs!$E$13)*Inputs!$E$16))))*Inputs!$E$29))+((Inputs!$E$19+Inputs!$E$20+Inputs!$E$21+(Inputs!$E$22*$C9)+Inputs!$E$23))+(IF(AND(Inputs!$E$24&gt;0,18=Inputs!$E$24),Inputs!$E$25,0))+(MAX((((((((Inputs!$E$3*(1+Inputs!$E$4)^(18-1))*Inputs!$E$5)*Inputs!$E$6)+((Inputs!$E$7*(1+Inputs!$E$8)^(18-1))*Inputs!$E$9)+(Inputs!$E$11*(1+Inputs!$E$12)^(18-1))+(IF(18&lt;Inputs!$E$13,0,Inputs!$E$14*(1+Inputs!$E$15)^(18-Inputs!$E$13)*Inputs!$E$16))))-(((((((Inputs!$E$3*(1+Inputs!$E$4)^(18-1))*Inputs!$E$5)*Inputs!$E$6)+((Inputs!$E$7*(1+Inputs!$E$8)^(18-1))*Inputs!$E$9)+(Inputs!$E$11*(1+Inputs!$E$12)^(18-1))+(IF(18&lt;Inputs!$E$13,0,Inputs!$E$14*(1+Inputs!$E$15)^(18-Inputs!$E$13)*Inputs!$E$16))))*Inputs!$E$26+((((Inputs!$E$3*(1+Inputs!$E$4)^(18-1))*Inputs!$E$5)*Inputs!$E$6)+((Inputs!$E$7*(1+Inputs!$E$8)^(18-1))*Inputs!$E$9)+(IF(18&lt;Inputs!$E$13,0,Inputs!$E$14*(1+Inputs!$E$15)^(18-Inputs!$E$13)*Inputs!$E$16)))*Inputs!$E$27+(Inputs!$E$3*(1+Inputs!$E$4)^(18-1))*Inputs!$E$30))-(((Inputs!$E$7*(1+Inputs!$E$8)^(18-1))*Inputs!$E$10))-(((((((Inputs!$E$3*(1+Inputs!$E$4)^(18-1))*Inputs!$E$5)*Inputs!$E$6)+((Inputs!$E$7*(1+Inputs!$E$8)^(18-1))*Inputs!$E$9)+(Inputs!$E$11*(1+Inputs!$E$12)^(18-1))+(IF(18&lt;Inputs!$E$13,0,Inputs!$E$14*(1+Inputs!$E$15)^(18-Inputs!$E$13)*Inputs!$E$16))))*Inputs!$E$29))-((Inputs!$E$19+Inputs!$E$20+Inputs!$E$21+(Inputs!$E$22*$C9)+Inputs!$E$23))-(IF(AND(Inputs!$E$24&gt;0,18=Inputs!$E$24),Inputs!$E$25,0)))),0)*Inputs!$E$28))))+(IF(AND(Inputs!$E$17&gt;0,18=Inputs!$E$17),Inputs!$E$18,0))))</f>
        <v/>
      </c>
      <c r="Y9" s="8">
        <f>X9+(((((((((Inputs!$E$3*(1+Inputs!$E$4)^(19-1))*Inputs!$E$5)*Inputs!$E$6)+((Inputs!$E$7*(1+Inputs!$E$8)^(19-1))*Inputs!$E$9)+(Inputs!$E$11*(1+Inputs!$E$12)^(19-1))+(IF(19&lt;Inputs!$E$13,0,Inputs!$E$14*(1+Inputs!$E$15)^(19-Inputs!$E$13)*Inputs!$E$16))))-(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+(((Inputs!$E$7*(1+Inputs!$E$8)^(19-1))*Inputs!$E$10))+(((((((Inputs!$E$3*(1+Inputs!$E$4)^(19-1))*Inputs!$E$5)*Inputs!$E$6)+((Inputs!$E$7*(1+Inputs!$E$8)^(19-1))*Inputs!$E$9)+(Inputs!$E$11*(1+Inputs!$E$12)^(19-1))+(IF(19&lt;Inputs!$E$13,0,Inputs!$E$14*(1+Inputs!$E$15)^(19-Inputs!$E$13)*Inputs!$E$16))))*Inputs!$E$29))+((Inputs!$E$19+Inputs!$E$20+Inputs!$E$21+(Inputs!$E$22*$C9)+Inputs!$E$23))+(IF(AND(Inputs!$E$24&gt;0,19=Inputs!$E$24),Inputs!$E$25,0))+(MAX((((((((Inputs!$E$3*(1+Inputs!$E$4)^(19-1))*Inputs!$E$5)*Inputs!$E$6)+((Inputs!$E$7*(1+Inputs!$E$8)^(19-1))*Inputs!$E$9)+(Inputs!$E$11*(1+Inputs!$E$12)^(19-1))+(IF(19&lt;Inputs!$E$13,0,Inputs!$E$14*(1+Inputs!$E$15)^(19-Inputs!$E$13)*Inputs!$E$16))))-(((((((Inputs!$E$3*(1+Inputs!$E$4)^(19-1))*Inputs!$E$5)*Inputs!$E$6)+((Inputs!$E$7*(1+Inputs!$E$8)^(19-1))*Inputs!$E$9)+(Inputs!$E$11*(1+Inputs!$E$12)^(19-1))+(IF(19&lt;Inputs!$E$13,0,Inputs!$E$14*(1+Inputs!$E$15)^(19-Inputs!$E$13)*Inputs!$E$16))))*Inputs!$E$26+((((Inputs!$E$3*(1+Inputs!$E$4)^(19-1))*Inputs!$E$5)*Inputs!$E$6)+((Inputs!$E$7*(1+Inputs!$E$8)^(19-1))*Inputs!$E$9)+(IF(19&lt;Inputs!$E$13,0,Inputs!$E$14*(1+Inputs!$E$15)^(19-Inputs!$E$13)*Inputs!$E$16)))*Inputs!$E$27+(Inputs!$E$3*(1+Inputs!$E$4)^(19-1))*Inputs!$E$30))-(((Inputs!$E$7*(1+Inputs!$E$8)^(19-1))*Inputs!$E$10))-(((((((Inputs!$E$3*(1+Inputs!$E$4)^(19-1))*Inputs!$E$5)*Inputs!$E$6)+((Inputs!$E$7*(1+Inputs!$E$8)^(19-1))*Inputs!$E$9)+(Inputs!$E$11*(1+Inputs!$E$12)^(19-1))+(IF(19&lt;Inputs!$E$13,0,Inputs!$E$14*(1+Inputs!$E$15)^(19-Inputs!$E$13)*Inputs!$E$16))))*Inputs!$E$29))-((Inputs!$E$19+Inputs!$E$20+Inputs!$E$21+(Inputs!$E$22*$C9)+Inputs!$E$23))-(IF(AND(Inputs!$E$24&gt;0,19=Inputs!$E$24),Inputs!$E$25,0)))),0)*Inputs!$E$28))))+(IF(AND(Inputs!$E$17&gt;0,19=Inputs!$E$17),Inputs!$E$18,0))))</f>
        <v/>
      </c>
      <c r="Z9" s="8">
        <f>Y9+(((((((((Inputs!$E$3*(1+Inputs!$E$4)^(20-1))*Inputs!$E$5)*Inputs!$E$6)+((Inputs!$E$7*(1+Inputs!$E$8)^(20-1))*Inputs!$E$9)+(Inputs!$E$11*(1+Inputs!$E$12)^(20-1))+(IF(20&lt;Inputs!$E$13,0,Inputs!$E$14*(1+Inputs!$E$15)^(20-Inputs!$E$13)*Inputs!$E$16))))-(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+(((Inputs!$E$7*(1+Inputs!$E$8)^(20-1))*Inputs!$E$10))+(((((((Inputs!$E$3*(1+Inputs!$E$4)^(20-1))*Inputs!$E$5)*Inputs!$E$6)+((Inputs!$E$7*(1+Inputs!$E$8)^(20-1))*Inputs!$E$9)+(Inputs!$E$11*(1+Inputs!$E$12)^(20-1))+(IF(20&lt;Inputs!$E$13,0,Inputs!$E$14*(1+Inputs!$E$15)^(20-Inputs!$E$13)*Inputs!$E$16))))*Inputs!$E$29))+((Inputs!$E$19+Inputs!$E$20+Inputs!$E$21+(Inputs!$E$22*$C9)+Inputs!$E$23))+(IF(AND(Inputs!$E$24&gt;0,20=Inputs!$E$24),Inputs!$E$25,0))+(MAX((((((((Inputs!$E$3*(1+Inputs!$E$4)^(20-1))*Inputs!$E$5)*Inputs!$E$6)+((Inputs!$E$7*(1+Inputs!$E$8)^(20-1))*Inputs!$E$9)+(Inputs!$E$11*(1+Inputs!$E$12)^(20-1))+(IF(20&lt;Inputs!$E$13,0,Inputs!$E$14*(1+Inputs!$E$15)^(20-Inputs!$E$13)*Inputs!$E$16))))-(((((((Inputs!$E$3*(1+Inputs!$E$4)^(20-1))*Inputs!$E$5)*Inputs!$E$6)+((Inputs!$E$7*(1+Inputs!$E$8)^(20-1))*Inputs!$E$9)+(Inputs!$E$11*(1+Inputs!$E$12)^(20-1))+(IF(20&lt;Inputs!$E$13,0,Inputs!$E$14*(1+Inputs!$E$15)^(20-Inputs!$E$13)*Inputs!$E$16))))*Inputs!$E$26+((((Inputs!$E$3*(1+Inputs!$E$4)^(20-1))*Inputs!$E$5)*Inputs!$E$6)+((Inputs!$E$7*(1+Inputs!$E$8)^(20-1))*Inputs!$E$9)+(IF(20&lt;Inputs!$E$13,0,Inputs!$E$14*(1+Inputs!$E$15)^(20-Inputs!$E$13)*Inputs!$E$16)))*Inputs!$E$27+(Inputs!$E$3*(1+Inputs!$E$4)^(20-1))*Inputs!$E$30))-(((Inputs!$E$7*(1+Inputs!$E$8)^(20-1))*Inputs!$E$10))-(((((((Inputs!$E$3*(1+Inputs!$E$4)^(20-1))*Inputs!$E$5)*Inputs!$E$6)+((Inputs!$E$7*(1+Inputs!$E$8)^(20-1))*Inputs!$E$9)+(Inputs!$E$11*(1+Inputs!$E$12)^(20-1))+(IF(20&lt;Inputs!$E$13,0,Inputs!$E$14*(1+Inputs!$E$15)^(20-Inputs!$E$13)*Inputs!$E$16))))*Inputs!$E$29))-((Inputs!$E$19+Inputs!$E$20+Inputs!$E$21+(Inputs!$E$22*$C9)+Inputs!$E$23))-(IF(AND(Inputs!$E$24&gt;0,20=Inputs!$E$24),Inputs!$E$25,0)))),0)*Inputs!$E$28))))+(IF(AND(Inputs!$E$17&gt;0,20=Inputs!$E$17),Inputs!$E$18,0))))</f>
        <v/>
      </c>
      <c r="AA9" s="8">
        <f>Z9+(((((((((Inputs!$E$3*(1+Inputs!$E$4)^(21-1))*Inputs!$E$5)*Inputs!$E$6)+((Inputs!$E$7*(1+Inputs!$E$8)^(21-1))*Inputs!$E$9)+(Inputs!$E$11*(1+Inputs!$E$12)^(21-1))+(IF(21&lt;Inputs!$E$13,0,Inputs!$E$14*(1+Inputs!$E$15)^(21-Inputs!$E$13)*Inputs!$E$16))))-(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+(((Inputs!$E$7*(1+Inputs!$E$8)^(21-1))*Inputs!$E$10))+(((((((Inputs!$E$3*(1+Inputs!$E$4)^(21-1))*Inputs!$E$5)*Inputs!$E$6)+((Inputs!$E$7*(1+Inputs!$E$8)^(21-1))*Inputs!$E$9)+(Inputs!$E$11*(1+Inputs!$E$12)^(21-1))+(IF(21&lt;Inputs!$E$13,0,Inputs!$E$14*(1+Inputs!$E$15)^(21-Inputs!$E$13)*Inputs!$E$16))))*Inputs!$E$29))+((Inputs!$E$19+Inputs!$E$20+Inputs!$E$21+(Inputs!$E$22*$C9)+Inputs!$E$23))+(IF(AND(Inputs!$E$24&gt;0,21=Inputs!$E$24),Inputs!$E$25,0))+(MAX((((((((Inputs!$E$3*(1+Inputs!$E$4)^(21-1))*Inputs!$E$5)*Inputs!$E$6)+((Inputs!$E$7*(1+Inputs!$E$8)^(21-1))*Inputs!$E$9)+(Inputs!$E$11*(1+Inputs!$E$12)^(21-1))+(IF(21&lt;Inputs!$E$13,0,Inputs!$E$14*(1+Inputs!$E$15)^(21-Inputs!$E$13)*Inputs!$E$16))))-(((((((Inputs!$E$3*(1+Inputs!$E$4)^(21-1))*Inputs!$E$5)*Inputs!$E$6)+((Inputs!$E$7*(1+Inputs!$E$8)^(21-1))*Inputs!$E$9)+(Inputs!$E$11*(1+Inputs!$E$12)^(21-1))+(IF(21&lt;Inputs!$E$13,0,Inputs!$E$14*(1+Inputs!$E$15)^(21-Inputs!$E$13)*Inputs!$E$16))))*Inputs!$E$26+((((Inputs!$E$3*(1+Inputs!$E$4)^(21-1))*Inputs!$E$5)*Inputs!$E$6)+((Inputs!$E$7*(1+Inputs!$E$8)^(21-1))*Inputs!$E$9)+(IF(21&lt;Inputs!$E$13,0,Inputs!$E$14*(1+Inputs!$E$15)^(21-Inputs!$E$13)*Inputs!$E$16)))*Inputs!$E$27+(Inputs!$E$3*(1+Inputs!$E$4)^(21-1))*Inputs!$E$30))-(((Inputs!$E$7*(1+Inputs!$E$8)^(21-1))*Inputs!$E$10))-(((((((Inputs!$E$3*(1+Inputs!$E$4)^(21-1))*Inputs!$E$5)*Inputs!$E$6)+((Inputs!$E$7*(1+Inputs!$E$8)^(21-1))*Inputs!$E$9)+(Inputs!$E$11*(1+Inputs!$E$12)^(21-1))+(IF(21&lt;Inputs!$E$13,0,Inputs!$E$14*(1+Inputs!$E$15)^(21-Inputs!$E$13)*Inputs!$E$16))))*Inputs!$E$29))-((Inputs!$E$19+Inputs!$E$20+Inputs!$E$21+(Inputs!$E$22*$C9)+Inputs!$E$23))-(IF(AND(Inputs!$E$24&gt;0,21=Inputs!$E$24),Inputs!$E$25,0)))),0)*Inputs!$E$28))))+(IF(AND(Inputs!$E$17&gt;0,21=Inputs!$E$17),Inputs!$E$18,0))))</f>
        <v/>
      </c>
      <c r="AB9" s="8">
        <f>AA9+(((((((((Inputs!$E$3*(1+Inputs!$E$4)^(22-1))*Inputs!$E$5)*Inputs!$E$6)+((Inputs!$E$7*(1+Inputs!$E$8)^(22-1))*Inputs!$E$9)+(Inputs!$E$11*(1+Inputs!$E$12)^(22-1))+(IF(22&lt;Inputs!$E$13,0,Inputs!$E$14*(1+Inputs!$E$15)^(22-Inputs!$E$13)*Inputs!$E$16))))-(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+(((Inputs!$E$7*(1+Inputs!$E$8)^(22-1))*Inputs!$E$10))+(((((((Inputs!$E$3*(1+Inputs!$E$4)^(22-1))*Inputs!$E$5)*Inputs!$E$6)+((Inputs!$E$7*(1+Inputs!$E$8)^(22-1))*Inputs!$E$9)+(Inputs!$E$11*(1+Inputs!$E$12)^(22-1))+(IF(22&lt;Inputs!$E$13,0,Inputs!$E$14*(1+Inputs!$E$15)^(22-Inputs!$E$13)*Inputs!$E$16))))*Inputs!$E$29))+((Inputs!$E$19+Inputs!$E$20+Inputs!$E$21+(Inputs!$E$22*$C9)+Inputs!$E$23))+(IF(AND(Inputs!$E$24&gt;0,22=Inputs!$E$24),Inputs!$E$25,0))+(MAX((((((((Inputs!$E$3*(1+Inputs!$E$4)^(22-1))*Inputs!$E$5)*Inputs!$E$6)+((Inputs!$E$7*(1+Inputs!$E$8)^(22-1))*Inputs!$E$9)+(Inputs!$E$11*(1+Inputs!$E$12)^(22-1))+(IF(22&lt;Inputs!$E$13,0,Inputs!$E$14*(1+Inputs!$E$15)^(22-Inputs!$E$13)*Inputs!$E$16))))-(((((((Inputs!$E$3*(1+Inputs!$E$4)^(22-1))*Inputs!$E$5)*Inputs!$E$6)+((Inputs!$E$7*(1+Inputs!$E$8)^(22-1))*Inputs!$E$9)+(Inputs!$E$11*(1+Inputs!$E$12)^(22-1))+(IF(22&lt;Inputs!$E$13,0,Inputs!$E$14*(1+Inputs!$E$15)^(22-Inputs!$E$13)*Inputs!$E$16))))*Inputs!$E$26+((((Inputs!$E$3*(1+Inputs!$E$4)^(22-1))*Inputs!$E$5)*Inputs!$E$6)+((Inputs!$E$7*(1+Inputs!$E$8)^(22-1))*Inputs!$E$9)+(IF(22&lt;Inputs!$E$13,0,Inputs!$E$14*(1+Inputs!$E$15)^(22-Inputs!$E$13)*Inputs!$E$16)))*Inputs!$E$27+(Inputs!$E$3*(1+Inputs!$E$4)^(22-1))*Inputs!$E$30))-(((Inputs!$E$7*(1+Inputs!$E$8)^(22-1))*Inputs!$E$10))-(((((((Inputs!$E$3*(1+Inputs!$E$4)^(22-1))*Inputs!$E$5)*Inputs!$E$6)+((Inputs!$E$7*(1+Inputs!$E$8)^(22-1))*Inputs!$E$9)+(Inputs!$E$11*(1+Inputs!$E$12)^(22-1))+(IF(22&lt;Inputs!$E$13,0,Inputs!$E$14*(1+Inputs!$E$15)^(22-Inputs!$E$13)*Inputs!$E$16))))*Inputs!$E$29))-((Inputs!$E$19+Inputs!$E$20+Inputs!$E$21+(Inputs!$E$22*$C9)+Inputs!$E$23))-(IF(AND(Inputs!$E$24&gt;0,22=Inputs!$E$24),Inputs!$E$25,0)))),0)*Inputs!$E$28))))+(IF(AND(Inputs!$E$17&gt;0,22=Inputs!$E$17),Inputs!$E$18,0))))</f>
        <v/>
      </c>
      <c r="AC9" s="8">
        <f>AB9+(((((((((Inputs!$E$3*(1+Inputs!$E$4)^(23-1))*Inputs!$E$5)*Inputs!$E$6)+((Inputs!$E$7*(1+Inputs!$E$8)^(23-1))*Inputs!$E$9)+(Inputs!$E$11*(1+Inputs!$E$12)^(23-1))+(IF(23&lt;Inputs!$E$13,0,Inputs!$E$14*(1+Inputs!$E$15)^(23-Inputs!$E$13)*Inputs!$E$16))))-(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+(((Inputs!$E$7*(1+Inputs!$E$8)^(23-1))*Inputs!$E$10))+(((((((Inputs!$E$3*(1+Inputs!$E$4)^(23-1))*Inputs!$E$5)*Inputs!$E$6)+((Inputs!$E$7*(1+Inputs!$E$8)^(23-1))*Inputs!$E$9)+(Inputs!$E$11*(1+Inputs!$E$12)^(23-1))+(IF(23&lt;Inputs!$E$13,0,Inputs!$E$14*(1+Inputs!$E$15)^(23-Inputs!$E$13)*Inputs!$E$16))))*Inputs!$E$29))+((Inputs!$E$19+Inputs!$E$20+Inputs!$E$21+(Inputs!$E$22*$C9)+Inputs!$E$23))+(IF(AND(Inputs!$E$24&gt;0,23=Inputs!$E$24),Inputs!$E$25,0))+(MAX((((((((Inputs!$E$3*(1+Inputs!$E$4)^(23-1))*Inputs!$E$5)*Inputs!$E$6)+((Inputs!$E$7*(1+Inputs!$E$8)^(23-1))*Inputs!$E$9)+(Inputs!$E$11*(1+Inputs!$E$12)^(23-1))+(IF(23&lt;Inputs!$E$13,0,Inputs!$E$14*(1+Inputs!$E$15)^(23-Inputs!$E$13)*Inputs!$E$16))))-(((((((Inputs!$E$3*(1+Inputs!$E$4)^(23-1))*Inputs!$E$5)*Inputs!$E$6)+((Inputs!$E$7*(1+Inputs!$E$8)^(23-1))*Inputs!$E$9)+(Inputs!$E$11*(1+Inputs!$E$12)^(23-1))+(IF(23&lt;Inputs!$E$13,0,Inputs!$E$14*(1+Inputs!$E$15)^(23-Inputs!$E$13)*Inputs!$E$16))))*Inputs!$E$26+((((Inputs!$E$3*(1+Inputs!$E$4)^(23-1))*Inputs!$E$5)*Inputs!$E$6)+((Inputs!$E$7*(1+Inputs!$E$8)^(23-1))*Inputs!$E$9)+(IF(23&lt;Inputs!$E$13,0,Inputs!$E$14*(1+Inputs!$E$15)^(23-Inputs!$E$13)*Inputs!$E$16)))*Inputs!$E$27+(Inputs!$E$3*(1+Inputs!$E$4)^(23-1))*Inputs!$E$30))-(((Inputs!$E$7*(1+Inputs!$E$8)^(23-1))*Inputs!$E$10))-(((((((Inputs!$E$3*(1+Inputs!$E$4)^(23-1))*Inputs!$E$5)*Inputs!$E$6)+((Inputs!$E$7*(1+Inputs!$E$8)^(23-1))*Inputs!$E$9)+(Inputs!$E$11*(1+Inputs!$E$12)^(23-1))+(IF(23&lt;Inputs!$E$13,0,Inputs!$E$14*(1+Inputs!$E$15)^(23-Inputs!$E$13)*Inputs!$E$16))))*Inputs!$E$29))-((Inputs!$E$19+Inputs!$E$20+Inputs!$E$21+(Inputs!$E$22*$C9)+Inputs!$E$23))-(IF(AND(Inputs!$E$24&gt;0,23=Inputs!$E$24),Inputs!$E$25,0)))),0)*Inputs!$E$28))))+(IF(AND(Inputs!$E$17&gt;0,23=Inputs!$E$17),Inputs!$E$18,0))))</f>
        <v/>
      </c>
      <c r="AD9" s="8">
        <f>AC9+(((((((((Inputs!$E$3*(1+Inputs!$E$4)^(24-1))*Inputs!$E$5)*Inputs!$E$6)+((Inputs!$E$7*(1+Inputs!$E$8)^(24-1))*Inputs!$E$9)+(Inputs!$E$11*(1+Inputs!$E$12)^(24-1))+(IF(24&lt;Inputs!$E$13,0,Inputs!$E$14*(1+Inputs!$E$15)^(24-Inputs!$E$13)*Inputs!$E$16))))-(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+(((Inputs!$E$7*(1+Inputs!$E$8)^(24-1))*Inputs!$E$10))+(((((((Inputs!$E$3*(1+Inputs!$E$4)^(24-1))*Inputs!$E$5)*Inputs!$E$6)+((Inputs!$E$7*(1+Inputs!$E$8)^(24-1))*Inputs!$E$9)+(Inputs!$E$11*(1+Inputs!$E$12)^(24-1))+(IF(24&lt;Inputs!$E$13,0,Inputs!$E$14*(1+Inputs!$E$15)^(24-Inputs!$E$13)*Inputs!$E$16))))*Inputs!$E$29))+((Inputs!$E$19+Inputs!$E$20+Inputs!$E$21+(Inputs!$E$22*$C9)+Inputs!$E$23))+(IF(AND(Inputs!$E$24&gt;0,24=Inputs!$E$24),Inputs!$E$25,0))+(MAX((((((((Inputs!$E$3*(1+Inputs!$E$4)^(24-1))*Inputs!$E$5)*Inputs!$E$6)+((Inputs!$E$7*(1+Inputs!$E$8)^(24-1))*Inputs!$E$9)+(Inputs!$E$11*(1+Inputs!$E$12)^(24-1))+(IF(24&lt;Inputs!$E$13,0,Inputs!$E$14*(1+Inputs!$E$15)^(24-Inputs!$E$13)*Inputs!$E$16))))-(((((((Inputs!$E$3*(1+Inputs!$E$4)^(24-1))*Inputs!$E$5)*Inputs!$E$6)+((Inputs!$E$7*(1+Inputs!$E$8)^(24-1))*Inputs!$E$9)+(Inputs!$E$11*(1+Inputs!$E$12)^(24-1))+(IF(24&lt;Inputs!$E$13,0,Inputs!$E$14*(1+Inputs!$E$15)^(24-Inputs!$E$13)*Inputs!$E$16))))*Inputs!$E$26+((((Inputs!$E$3*(1+Inputs!$E$4)^(24-1))*Inputs!$E$5)*Inputs!$E$6)+((Inputs!$E$7*(1+Inputs!$E$8)^(24-1))*Inputs!$E$9)+(IF(24&lt;Inputs!$E$13,0,Inputs!$E$14*(1+Inputs!$E$15)^(24-Inputs!$E$13)*Inputs!$E$16)))*Inputs!$E$27+(Inputs!$E$3*(1+Inputs!$E$4)^(24-1))*Inputs!$E$30))-(((Inputs!$E$7*(1+Inputs!$E$8)^(24-1))*Inputs!$E$10))-(((((((Inputs!$E$3*(1+Inputs!$E$4)^(24-1))*Inputs!$E$5)*Inputs!$E$6)+((Inputs!$E$7*(1+Inputs!$E$8)^(24-1))*Inputs!$E$9)+(Inputs!$E$11*(1+Inputs!$E$12)^(24-1))+(IF(24&lt;Inputs!$E$13,0,Inputs!$E$14*(1+Inputs!$E$15)^(24-Inputs!$E$13)*Inputs!$E$16))))*Inputs!$E$29))-((Inputs!$E$19+Inputs!$E$20+Inputs!$E$21+(Inputs!$E$22*$C9)+Inputs!$E$23))-(IF(AND(Inputs!$E$24&gt;0,24=Inputs!$E$24),Inputs!$E$25,0)))),0)*Inputs!$E$28))))+(IF(AND(Inputs!$E$17&gt;0,24=Inputs!$E$17),Inputs!$E$18,0))))</f>
        <v/>
      </c>
      <c r="AE9" s="8">
        <f>AD9+(((((((((Inputs!$E$3*(1+Inputs!$E$4)^(25-1))*Inputs!$E$5)*Inputs!$E$6)+((Inputs!$E$7*(1+Inputs!$E$8)^(25-1))*Inputs!$E$9)+(Inputs!$E$11*(1+Inputs!$E$12)^(25-1))+(IF(25&lt;Inputs!$E$13,0,Inputs!$E$14*(1+Inputs!$E$15)^(25-Inputs!$E$13)*Inputs!$E$16))))-(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+(((Inputs!$E$7*(1+Inputs!$E$8)^(25-1))*Inputs!$E$10))+(((((((Inputs!$E$3*(1+Inputs!$E$4)^(25-1))*Inputs!$E$5)*Inputs!$E$6)+((Inputs!$E$7*(1+Inputs!$E$8)^(25-1))*Inputs!$E$9)+(Inputs!$E$11*(1+Inputs!$E$12)^(25-1))+(IF(25&lt;Inputs!$E$13,0,Inputs!$E$14*(1+Inputs!$E$15)^(25-Inputs!$E$13)*Inputs!$E$16))))*Inputs!$E$29))+((Inputs!$E$19+Inputs!$E$20+Inputs!$E$21+(Inputs!$E$22*$C9)+Inputs!$E$23))+(IF(AND(Inputs!$E$24&gt;0,25=Inputs!$E$24),Inputs!$E$25,0))+(MAX((((((((Inputs!$E$3*(1+Inputs!$E$4)^(25-1))*Inputs!$E$5)*Inputs!$E$6)+((Inputs!$E$7*(1+Inputs!$E$8)^(25-1))*Inputs!$E$9)+(Inputs!$E$11*(1+Inputs!$E$12)^(25-1))+(IF(25&lt;Inputs!$E$13,0,Inputs!$E$14*(1+Inputs!$E$15)^(25-Inputs!$E$13)*Inputs!$E$16))))-(((((((Inputs!$E$3*(1+Inputs!$E$4)^(25-1))*Inputs!$E$5)*Inputs!$E$6)+((Inputs!$E$7*(1+Inputs!$E$8)^(25-1))*Inputs!$E$9)+(Inputs!$E$11*(1+Inputs!$E$12)^(25-1))+(IF(25&lt;Inputs!$E$13,0,Inputs!$E$14*(1+Inputs!$E$15)^(25-Inputs!$E$13)*Inputs!$E$16))))*Inputs!$E$26+((((Inputs!$E$3*(1+Inputs!$E$4)^(25-1))*Inputs!$E$5)*Inputs!$E$6)+((Inputs!$E$7*(1+Inputs!$E$8)^(25-1))*Inputs!$E$9)+(IF(25&lt;Inputs!$E$13,0,Inputs!$E$14*(1+Inputs!$E$15)^(25-Inputs!$E$13)*Inputs!$E$16)))*Inputs!$E$27+(Inputs!$E$3*(1+Inputs!$E$4)^(25-1))*Inputs!$E$30))-(((Inputs!$E$7*(1+Inputs!$E$8)^(25-1))*Inputs!$E$10))-(((((((Inputs!$E$3*(1+Inputs!$E$4)^(25-1))*Inputs!$E$5)*Inputs!$E$6)+((Inputs!$E$7*(1+Inputs!$E$8)^(25-1))*Inputs!$E$9)+(Inputs!$E$11*(1+Inputs!$E$12)^(25-1))+(IF(25&lt;Inputs!$E$13,0,Inputs!$E$14*(1+Inputs!$E$15)^(25-Inputs!$E$13)*Inputs!$E$16))))*Inputs!$E$29))-((Inputs!$E$19+Inputs!$E$20+Inputs!$E$21+(Inputs!$E$22*$C9)+Inputs!$E$23))-(IF(AND(Inputs!$E$24&gt;0,25=Inputs!$E$24),Inputs!$E$25,0)))),0)*Inputs!$E$28))))+(IF(AND(Inputs!$E$17&gt;0,25=Inputs!$E$17),Inputs!$E$18,0))))</f>
        <v/>
      </c>
      <c r="AF9" s="8">
        <f>AE9+(((((((((Inputs!$E$3*(1+Inputs!$E$4)^(26-1))*Inputs!$E$5)*Inputs!$E$6)+((Inputs!$E$7*(1+Inputs!$E$8)^(26-1))*Inputs!$E$9)+(Inputs!$E$11*(1+Inputs!$E$12)^(26-1))+(IF(26&lt;Inputs!$E$13,0,Inputs!$E$14*(1+Inputs!$E$15)^(26-Inputs!$E$13)*Inputs!$E$16))))-(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+(((Inputs!$E$7*(1+Inputs!$E$8)^(26-1))*Inputs!$E$10))+(((((((Inputs!$E$3*(1+Inputs!$E$4)^(26-1))*Inputs!$E$5)*Inputs!$E$6)+((Inputs!$E$7*(1+Inputs!$E$8)^(26-1))*Inputs!$E$9)+(Inputs!$E$11*(1+Inputs!$E$12)^(26-1))+(IF(26&lt;Inputs!$E$13,0,Inputs!$E$14*(1+Inputs!$E$15)^(26-Inputs!$E$13)*Inputs!$E$16))))*Inputs!$E$29))+((Inputs!$E$19+Inputs!$E$20+Inputs!$E$21+(Inputs!$E$22*$C9)+Inputs!$E$23))+(IF(AND(Inputs!$E$24&gt;0,26=Inputs!$E$24),Inputs!$E$25,0))+(MAX((((((((Inputs!$E$3*(1+Inputs!$E$4)^(26-1))*Inputs!$E$5)*Inputs!$E$6)+((Inputs!$E$7*(1+Inputs!$E$8)^(26-1))*Inputs!$E$9)+(Inputs!$E$11*(1+Inputs!$E$12)^(26-1))+(IF(26&lt;Inputs!$E$13,0,Inputs!$E$14*(1+Inputs!$E$15)^(26-Inputs!$E$13)*Inputs!$E$16))))-(((((((Inputs!$E$3*(1+Inputs!$E$4)^(26-1))*Inputs!$E$5)*Inputs!$E$6)+((Inputs!$E$7*(1+Inputs!$E$8)^(26-1))*Inputs!$E$9)+(Inputs!$E$11*(1+Inputs!$E$12)^(26-1))+(IF(26&lt;Inputs!$E$13,0,Inputs!$E$14*(1+Inputs!$E$15)^(26-Inputs!$E$13)*Inputs!$E$16))))*Inputs!$E$26+((((Inputs!$E$3*(1+Inputs!$E$4)^(26-1))*Inputs!$E$5)*Inputs!$E$6)+((Inputs!$E$7*(1+Inputs!$E$8)^(26-1))*Inputs!$E$9)+(IF(26&lt;Inputs!$E$13,0,Inputs!$E$14*(1+Inputs!$E$15)^(26-Inputs!$E$13)*Inputs!$E$16)))*Inputs!$E$27+(Inputs!$E$3*(1+Inputs!$E$4)^(26-1))*Inputs!$E$30))-(((Inputs!$E$7*(1+Inputs!$E$8)^(26-1))*Inputs!$E$10))-(((((((Inputs!$E$3*(1+Inputs!$E$4)^(26-1))*Inputs!$E$5)*Inputs!$E$6)+((Inputs!$E$7*(1+Inputs!$E$8)^(26-1))*Inputs!$E$9)+(Inputs!$E$11*(1+Inputs!$E$12)^(26-1))+(IF(26&lt;Inputs!$E$13,0,Inputs!$E$14*(1+Inputs!$E$15)^(26-Inputs!$E$13)*Inputs!$E$16))))*Inputs!$E$29))-((Inputs!$E$19+Inputs!$E$20+Inputs!$E$21+(Inputs!$E$22*$C9)+Inputs!$E$23))-(IF(AND(Inputs!$E$24&gt;0,26=Inputs!$E$24),Inputs!$E$25,0)))),0)*Inputs!$E$28))))+(IF(AND(Inputs!$E$17&gt;0,26=Inputs!$E$17),Inputs!$E$18,0))))</f>
        <v/>
      </c>
      <c r="AG9" s="8">
        <f>AF9+(((((((((Inputs!$E$3*(1+Inputs!$E$4)^(27-1))*Inputs!$E$5)*Inputs!$E$6)+((Inputs!$E$7*(1+Inputs!$E$8)^(27-1))*Inputs!$E$9)+(Inputs!$E$11*(1+Inputs!$E$12)^(27-1))+(IF(27&lt;Inputs!$E$13,0,Inputs!$E$14*(1+Inputs!$E$15)^(27-Inputs!$E$13)*Inputs!$E$16))))-(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+(((Inputs!$E$7*(1+Inputs!$E$8)^(27-1))*Inputs!$E$10))+(((((((Inputs!$E$3*(1+Inputs!$E$4)^(27-1))*Inputs!$E$5)*Inputs!$E$6)+((Inputs!$E$7*(1+Inputs!$E$8)^(27-1))*Inputs!$E$9)+(Inputs!$E$11*(1+Inputs!$E$12)^(27-1))+(IF(27&lt;Inputs!$E$13,0,Inputs!$E$14*(1+Inputs!$E$15)^(27-Inputs!$E$13)*Inputs!$E$16))))*Inputs!$E$29))+((Inputs!$E$19+Inputs!$E$20+Inputs!$E$21+(Inputs!$E$22*$C9)+Inputs!$E$23))+(IF(AND(Inputs!$E$24&gt;0,27=Inputs!$E$24),Inputs!$E$25,0))+(MAX((((((((Inputs!$E$3*(1+Inputs!$E$4)^(27-1))*Inputs!$E$5)*Inputs!$E$6)+((Inputs!$E$7*(1+Inputs!$E$8)^(27-1))*Inputs!$E$9)+(Inputs!$E$11*(1+Inputs!$E$12)^(27-1))+(IF(27&lt;Inputs!$E$13,0,Inputs!$E$14*(1+Inputs!$E$15)^(27-Inputs!$E$13)*Inputs!$E$16))))-(((((((Inputs!$E$3*(1+Inputs!$E$4)^(27-1))*Inputs!$E$5)*Inputs!$E$6)+((Inputs!$E$7*(1+Inputs!$E$8)^(27-1))*Inputs!$E$9)+(Inputs!$E$11*(1+Inputs!$E$12)^(27-1))+(IF(27&lt;Inputs!$E$13,0,Inputs!$E$14*(1+Inputs!$E$15)^(27-Inputs!$E$13)*Inputs!$E$16))))*Inputs!$E$26+((((Inputs!$E$3*(1+Inputs!$E$4)^(27-1))*Inputs!$E$5)*Inputs!$E$6)+((Inputs!$E$7*(1+Inputs!$E$8)^(27-1))*Inputs!$E$9)+(IF(27&lt;Inputs!$E$13,0,Inputs!$E$14*(1+Inputs!$E$15)^(27-Inputs!$E$13)*Inputs!$E$16)))*Inputs!$E$27+(Inputs!$E$3*(1+Inputs!$E$4)^(27-1))*Inputs!$E$30))-(((Inputs!$E$7*(1+Inputs!$E$8)^(27-1))*Inputs!$E$10))-(((((((Inputs!$E$3*(1+Inputs!$E$4)^(27-1))*Inputs!$E$5)*Inputs!$E$6)+((Inputs!$E$7*(1+Inputs!$E$8)^(27-1))*Inputs!$E$9)+(Inputs!$E$11*(1+Inputs!$E$12)^(27-1))+(IF(27&lt;Inputs!$E$13,0,Inputs!$E$14*(1+Inputs!$E$15)^(27-Inputs!$E$13)*Inputs!$E$16))))*Inputs!$E$29))-((Inputs!$E$19+Inputs!$E$20+Inputs!$E$21+(Inputs!$E$22*$C9)+Inputs!$E$23))-(IF(AND(Inputs!$E$24&gt;0,27=Inputs!$E$24),Inputs!$E$25,0)))),0)*Inputs!$E$28))))+(IF(AND(Inputs!$E$17&gt;0,27=Inputs!$E$17),Inputs!$E$18,0))))</f>
        <v/>
      </c>
      <c r="AH9" s="8">
        <f>AG9+(((((((((Inputs!$E$3*(1+Inputs!$E$4)^(28-1))*Inputs!$E$5)*Inputs!$E$6)+((Inputs!$E$7*(1+Inputs!$E$8)^(28-1))*Inputs!$E$9)+(Inputs!$E$11*(1+Inputs!$E$12)^(28-1))+(IF(28&lt;Inputs!$E$13,0,Inputs!$E$14*(1+Inputs!$E$15)^(28-Inputs!$E$13)*Inputs!$E$16))))-(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+(((Inputs!$E$7*(1+Inputs!$E$8)^(28-1))*Inputs!$E$10))+(((((((Inputs!$E$3*(1+Inputs!$E$4)^(28-1))*Inputs!$E$5)*Inputs!$E$6)+((Inputs!$E$7*(1+Inputs!$E$8)^(28-1))*Inputs!$E$9)+(Inputs!$E$11*(1+Inputs!$E$12)^(28-1))+(IF(28&lt;Inputs!$E$13,0,Inputs!$E$14*(1+Inputs!$E$15)^(28-Inputs!$E$13)*Inputs!$E$16))))*Inputs!$E$29))+((Inputs!$E$19+Inputs!$E$20+Inputs!$E$21+(Inputs!$E$22*$C9)+Inputs!$E$23))+(IF(AND(Inputs!$E$24&gt;0,28=Inputs!$E$24),Inputs!$E$25,0))+(MAX((((((((Inputs!$E$3*(1+Inputs!$E$4)^(28-1))*Inputs!$E$5)*Inputs!$E$6)+((Inputs!$E$7*(1+Inputs!$E$8)^(28-1))*Inputs!$E$9)+(Inputs!$E$11*(1+Inputs!$E$12)^(28-1))+(IF(28&lt;Inputs!$E$13,0,Inputs!$E$14*(1+Inputs!$E$15)^(28-Inputs!$E$13)*Inputs!$E$16))))-(((((((Inputs!$E$3*(1+Inputs!$E$4)^(28-1))*Inputs!$E$5)*Inputs!$E$6)+((Inputs!$E$7*(1+Inputs!$E$8)^(28-1))*Inputs!$E$9)+(Inputs!$E$11*(1+Inputs!$E$12)^(28-1))+(IF(28&lt;Inputs!$E$13,0,Inputs!$E$14*(1+Inputs!$E$15)^(28-Inputs!$E$13)*Inputs!$E$16))))*Inputs!$E$26+((((Inputs!$E$3*(1+Inputs!$E$4)^(28-1))*Inputs!$E$5)*Inputs!$E$6)+((Inputs!$E$7*(1+Inputs!$E$8)^(28-1))*Inputs!$E$9)+(IF(28&lt;Inputs!$E$13,0,Inputs!$E$14*(1+Inputs!$E$15)^(28-Inputs!$E$13)*Inputs!$E$16)))*Inputs!$E$27+(Inputs!$E$3*(1+Inputs!$E$4)^(28-1))*Inputs!$E$30))-(((Inputs!$E$7*(1+Inputs!$E$8)^(28-1))*Inputs!$E$10))-(((((((Inputs!$E$3*(1+Inputs!$E$4)^(28-1))*Inputs!$E$5)*Inputs!$E$6)+((Inputs!$E$7*(1+Inputs!$E$8)^(28-1))*Inputs!$E$9)+(Inputs!$E$11*(1+Inputs!$E$12)^(28-1))+(IF(28&lt;Inputs!$E$13,0,Inputs!$E$14*(1+Inputs!$E$15)^(28-Inputs!$E$13)*Inputs!$E$16))))*Inputs!$E$29))-((Inputs!$E$19+Inputs!$E$20+Inputs!$E$21+(Inputs!$E$22*$C9)+Inputs!$E$23))-(IF(AND(Inputs!$E$24&gt;0,28=Inputs!$E$24),Inputs!$E$25,0)))),0)*Inputs!$E$28))))+(IF(AND(Inputs!$E$17&gt;0,28=Inputs!$E$17),Inputs!$E$18,0))))</f>
        <v/>
      </c>
      <c r="AI9" s="8">
        <f>AH9+(((((((((Inputs!$E$3*(1+Inputs!$E$4)^(29-1))*Inputs!$E$5)*Inputs!$E$6)+((Inputs!$E$7*(1+Inputs!$E$8)^(29-1))*Inputs!$E$9)+(Inputs!$E$11*(1+Inputs!$E$12)^(29-1))+(IF(29&lt;Inputs!$E$13,0,Inputs!$E$14*(1+Inputs!$E$15)^(29-Inputs!$E$13)*Inputs!$E$16))))-(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+(((Inputs!$E$7*(1+Inputs!$E$8)^(29-1))*Inputs!$E$10))+(((((((Inputs!$E$3*(1+Inputs!$E$4)^(29-1))*Inputs!$E$5)*Inputs!$E$6)+((Inputs!$E$7*(1+Inputs!$E$8)^(29-1))*Inputs!$E$9)+(Inputs!$E$11*(1+Inputs!$E$12)^(29-1))+(IF(29&lt;Inputs!$E$13,0,Inputs!$E$14*(1+Inputs!$E$15)^(29-Inputs!$E$13)*Inputs!$E$16))))*Inputs!$E$29))+((Inputs!$E$19+Inputs!$E$20+Inputs!$E$21+(Inputs!$E$22*$C9)+Inputs!$E$23))+(IF(AND(Inputs!$E$24&gt;0,29=Inputs!$E$24),Inputs!$E$25,0))+(MAX((((((((Inputs!$E$3*(1+Inputs!$E$4)^(29-1))*Inputs!$E$5)*Inputs!$E$6)+((Inputs!$E$7*(1+Inputs!$E$8)^(29-1))*Inputs!$E$9)+(Inputs!$E$11*(1+Inputs!$E$12)^(29-1))+(IF(29&lt;Inputs!$E$13,0,Inputs!$E$14*(1+Inputs!$E$15)^(29-Inputs!$E$13)*Inputs!$E$16))))-(((((((Inputs!$E$3*(1+Inputs!$E$4)^(29-1))*Inputs!$E$5)*Inputs!$E$6)+((Inputs!$E$7*(1+Inputs!$E$8)^(29-1))*Inputs!$E$9)+(Inputs!$E$11*(1+Inputs!$E$12)^(29-1))+(IF(29&lt;Inputs!$E$13,0,Inputs!$E$14*(1+Inputs!$E$15)^(29-Inputs!$E$13)*Inputs!$E$16))))*Inputs!$E$26+((((Inputs!$E$3*(1+Inputs!$E$4)^(29-1))*Inputs!$E$5)*Inputs!$E$6)+((Inputs!$E$7*(1+Inputs!$E$8)^(29-1))*Inputs!$E$9)+(IF(29&lt;Inputs!$E$13,0,Inputs!$E$14*(1+Inputs!$E$15)^(29-Inputs!$E$13)*Inputs!$E$16)))*Inputs!$E$27+(Inputs!$E$3*(1+Inputs!$E$4)^(29-1))*Inputs!$E$30))-(((Inputs!$E$7*(1+Inputs!$E$8)^(29-1))*Inputs!$E$10))-(((((((Inputs!$E$3*(1+Inputs!$E$4)^(29-1))*Inputs!$E$5)*Inputs!$E$6)+((Inputs!$E$7*(1+Inputs!$E$8)^(29-1))*Inputs!$E$9)+(Inputs!$E$11*(1+Inputs!$E$12)^(29-1))+(IF(29&lt;Inputs!$E$13,0,Inputs!$E$14*(1+Inputs!$E$15)^(29-Inputs!$E$13)*Inputs!$E$16))))*Inputs!$E$29))-((Inputs!$E$19+Inputs!$E$20+Inputs!$E$21+(Inputs!$E$22*$C9)+Inputs!$E$23))-(IF(AND(Inputs!$E$24&gt;0,29=Inputs!$E$24),Inputs!$E$25,0)))),0)*Inputs!$E$28))))+(IF(AND(Inputs!$E$17&gt;0,29=Inputs!$E$17),Inputs!$E$18,0))))</f>
        <v/>
      </c>
      <c r="AJ9" s="8">
        <f>AI9+(((((((((Inputs!$E$3*(1+Inputs!$E$4)^(30-1))*Inputs!$E$5)*Inputs!$E$6)+((Inputs!$E$7*(1+Inputs!$E$8)^(30-1))*Inputs!$E$9)+(Inputs!$E$11*(1+Inputs!$E$12)^(30-1))+(IF(30&lt;Inputs!$E$13,0,Inputs!$E$14*(1+Inputs!$E$15)^(30-Inputs!$E$13)*Inputs!$E$16))))-(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+(((Inputs!$E$7*(1+Inputs!$E$8)^(30-1))*Inputs!$E$10))+(((((((Inputs!$E$3*(1+Inputs!$E$4)^(30-1))*Inputs!$E$5)*Inputs!$E$6)+((Inputs!$E$7*(1+Inputs!$E$8)^(30-1))*Inputs!$E$9)+(Inputs!$E$11*(1+Inputs!$E$12)^(30-1))+(IF(30&lt;Inputs!$E$13,0,Inputs!$E$14*(1+Inputs!$E$15)^(30-Inputs!$E$13)*Inputs!$E$16))))*Inputs!$E$29))+((Inputs!$E$19+Inputs!$E$20+Inputs!$E$21+(Inputs!$E$22*$C9)+Inputs!$E$23))+(IF(AND(Inputs!$E$24&gt;0,30=Inputs!$E$24),Inputs!$E$25,0))+(MAX((((((((Inputs!$E$3*(1+Inputs!$E$4)^(30-1))*Inputs!$E$5)*Inputs!$E$6)+((Inputs!$E$7*(1+Inputs!$E$8)^(30-1))*Inputs!$E$9)+(Inputs!$E$11*(1+Inputs!$E$12)^(30-1))+(IF(30&lt;Inputs!$E$13,0,Inputs!$E$14*(1+Inputs!$E$15)^(30-Inputs!$E$13)*Inputs!$E$16))))-(((((((Inputs!$E$3*(1+Inputs!$E$4)^(30-1))*Inputs!$E$5)*Inputs!$E$6)+((Inputs!$E$7*(1+Inputs!$E$8)^(30-1))*Inputs!$E$9)+(Inputs!$E$11*(1+Inputs!$E$12)^(30-1))+(IF(30&lt;Inputs!$E$13,0,Inputs!$E$14*(1+Inputs!$E$15)^(30-Inputs!$E$13)*Inputs!$E$16))))*Inputs!$E$26+((((Inputs!$E$3*(1+Inputs!$E$4)^(30-1))*Inputs!$E$5)*Inputs!$E$6)+((Inputs!$E$7*(1+Inputs!$E$8)^(30-1))*Inputs!$E$9)+(IF(30&lt;Inputs!$E$13,0,Inputs!$E$14*(1+Inputs!$E$15)^(30-Inputs!$E$13)*Inputs!$E$16)))*Inputs!$E$27+(Inputs!$E$3*(1+Inputs!$E$4)^(30-1))*Inputs!$E$30))-(((Inputs!$E$7*(1+Inputs!$E$8)^(30-1))*Inputs!$E$10))-(((((((Inputs!$E$3*(1+Inputs!$E$4)^(30-1))*Inputs!$E$5)*Inputs!$E$6)+((Inputs!$E$7*(1+Inputs!$E$8)^(30-1))*Inputs!$E$9)+(Inputs!$E$11*(1+Inputs!$E$12)^(30-1))+(IF(30&lt;Inputs!$E$13,0,Inputs!$E$14*(1+Inputs!$E$15)^(30-Inputs!$E$13)*Inputs!$E$16))))*Inputs!$E$29))-((Inputs!$E$19+Inputs!$E$20+Inputs!$E$21+(Inputs!$E$22*$C9)+Inputs!$E$23))-(IF(AND(Inputs!$E$24&gt;0,30=Inputs!$E$24),Inputs!$E$25,0)))),0)*Inputs!$E$28))))+(IF(AND(Inputs!$E$17&gt;0,30=Inputs!$E$17),Inputs!$E$18,0))))</f>
        <v/>
      </c>
      <c r="AK9" s="8">
        <f>AJ9+(((((((((Inputs!$E$3*(1+Inputs!$E$4)^(31-1))*Inputs!$E$5)*Inputs!$E$6)+((Inputs!$E$7*(1+Inputs!$E$8)^(31-1))*Inputs!$E$9)+(Inputs!$E$11*(1+Inputs!$E$12)^(31-1))+(IF(31&lt;Inputs!$E$13,0,Inputs!$E$14*(1+Inputs!$E$15)^(31-Inputs!$E$13)*Inputs!$E$16))))-(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+(((Inputs!$E$7*(1+Inputs!$E$8)^(31-1))*Inputs!$E$10))+(((((((Inputs!$E$3*(1+Inputs!$E$4)^(31-1))*Inputs!$E$5)*Inputs!$E$6)+((Inputs!$E$7*(1+Inputs!$E$8)^(31-1))*Inputs!$E$9)+(Inputs!$E$11*(1+Inputs!$E$12)^(31-1))+(IF(31&lt;Inputs!$E$13,0,Inputs!$E$14*(1+Inputs!$E$15)^(31-Inputs!$E$13)*Inputs!$E$16))))*Inputs!$E$29))+((Inputs!$E$19+Inputs!$E$20+Inputs!$E$21+(Inputs!$E$22*$C9)+Inputs!$E$23))+(IF(AND(Inputs!$E$24&gt;0,31=Inputs!$E$24),Inputs!$E$25,0))+(MAX((((((((Inputs!$E$3*(1+Inputs!$E$4)^(31-1))*Inputs!$E$5)*Inputs!$E$6)+((Inputs!$E$7*(1+Inputs!$E$8)^(31-1))*Inputs!$E$9)+(Inputs!$E$11*(1+Inputs!$E$12)^(31-1))+(IF(31&lt;Inputs!$E$13,0,Inputs!$E$14*(1+Inputs!$E$15)^(31-Inputs!$E$13)*Inputs!$E$16))))-(((((((Inputs!$E$3*(1+Inputs!$E$4)^(31-1))*Inputs!$E$5)*Inputs!$E$6)+((Inputs!$E$7*(1+Inputs!$E$8)^(31-1))*Inputs!$E$9)+(Inputs!$E$11*(1+Inputs!$E$12)^(31-1))+(IF(31&lt;Inputs!$E$13,0,Inputs!$E$14*(1+Inputs!$E$15)^(31-Inputs!$E$13)*Inputs!$E$16))))*Inputs!$E$26+((((Inputs!$E$3*(1+Inputs!$E$4)^(31-1))*Inputs!$E$5)*Inputs!$E$6)+((Inputs!$E$7*(1+Inputs!$E$8)^(31-1))*Inputs!$E$9)+(IF(31&lt;Inputs!$E$13,0,Inputs!$E$14*(1+Inputs!$E$15)^(31-Inputs!$E$13)*Inputs!$E$16)))*Inputs!$E$27+(Inputs!$E$3*(1+Inputs!$E$4)^(31-1))*Inputs!$E$30))-(((Inputs!$E$7*(1+Inputs!$E$8)^(31-1))*Inputs!$E$10))-(((((((Inputs!$E$3*(1+Inputs!$E$4)^(31-1))*Inputs!$E$5)*Inputs!$E$6)+((Inputs!$E$7*(1+Inputs!$E$8)^(31-1))*Inputs!$E$9)+(Inputs!$E$11*(1+Inputs!$E$12)^(31-1))+(IF(31&lt;Inputs!$E$13,0,Inputs!$E$14*(1+Inputs!$E$15)^(31-Inputs!$E$13)*Inputs!$E$16))))*Inputs!$E$29))-((Inputs!$E$19+Inputs!$E$20+Inputs!$E$21+(Inputs!$E$22*$C9)+Inputs!$E$23))-(IF(AND(Inputs!$E$24&gt;0,31=Inputs!$E$24),Inputs!$E$25,0)))),0)*Inputs!$E$28))))+(IF(AND(Inputs!$E$17&gt;0,31=Inputs!$E$17),Inputs!$E$18,0))))</f>
        <v/>
      </c>
      <c r="AL9" s="8">
        <f>AK9+(((((((((Inputs!$E$3*(1+Inputs!$E$4)^(32-1))*Inputs!$E$5)*Inputs!$E$6)+((Inputs!$E$7*(1+Inputs!$E$8)^(32-1))*Inputs!$E$9)+(Inputs!$E$11*(1+Inputs!$E$12)^(32-1))+(IF(32&lt;Inputs!$E$13,0,Inputs!$E$14*(1+Inputs!$E$15)^(32-Inputs!$E$13)*Inputs!$E$16))))-(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+(((Inputs!$E$7*(1+Inputs!$E$8)^(32-1))*Inputs!$E$10))+(((((((Inputs!$E$3*(1+Inputs!$E$4)^(32-1))*Inputs!$E$5)*Inputs!$E$6)+((Inputs!$E$7*(1+Inputs!$E$8)^(32-1))*Inputs!$E$9)+(Inputs!$E$11*(1+Inputs!$E$12)^(32-1))+(IF(32&lt;Inputs!$E$13,0,Inputs!$E$14*(1+Inputs!$E$15)^(32-Inputs!$E$13)*Inputs!$E$16))))*Inputs!$E$29))+((Inputs!$E$19+Inputs!$E$20+Inputs!$E$21+(Inputs!$E$22*$C9)+Inputs!$E$23))+(IF(AND(Inputs!$E$24&gt;0,32=Inputs!$E$24),Inputs!$E$25,0))+(MAX((((((((Inputs!$E$3*(1+Inputs!$E$4)^(32-1))*Inputs!$E$5)*Inputs!$E$6)+((Inputs!$E$7*(1+Inputs!$E$8)^(32-1))*Inputs!$E$9)+(Inputs!$E$11*(1+Inputs!$E$12)^(32-1))+(IF(32&lt;Inputs!$E$13,0,Inputs!$E$14*(1+Inputs!$E$15)^(32-Inputs!$E$13)*Inputs!$E$16))))-(((((((Inputs!$E$3*(1+Inputs!$E$4)^(32-1))*Inputs!$E$5)*Inputs!$E$6)+((Inputs!$E$7*(1+Inputs!$E$8)^(32-1))*Inputs!$E$9)+(Inputs!$E$11*(1+Inputs!$E$12)^(32-1))+(IF(32&lt;Inputs!$E$13,0,Inputs!$E$14*(1+Inputs!$E$15)^(32-Inputs!$E$13)*Inputs!$E$16))))*Inputs!$E$26+((((Inputs!$E$3*(1+Inputs!$E$4)^(32-1))*Inputs!$E$5)*Inputs!$E$6)+((Inputs!$E$7*(1+Inputs!$E$8)^(32-1))*Inputs!$E$9)+(IF(32&lt;Inputs!$E$13,0,Inputs!$E$14*(1+Inputs!$E$15)^(32-Inputs!$E$13)*Inputs!$E$16)))*Inputs!$E$27+(Inputs!$E$3*(1+Inputs!$E$4)^(32-1))*Inputs!$E$30))-(((Inputs!$E$7*(1+Inputs!$E$8)^(32-1))*Inputs!$E$10))-(((((((Inputs!$E$3*(1+Inputs!$E$4)^(32-1))*Inputs!$E$5)*Inputs!$E$6)+((Inputs!$E$7*(1+Inputs!$E$8)^(32-1))*Inputs!$E$9)+(Inputs!$E$11*(1+Inputs!$E$12)^(32-1))+(IF(32&lt;Inputs!$E$13,0,Inputs!$E$14*(1+Inputs!$E$15)^(32-Inputs!$E$13)*Inputs!$E$16))))*Inputs!$E$29))-((Inputs!$E$19+Inputs!$E$20+Inputs!$E$21+(Inputs!$E$22*$C9)+Inputs!$E$23))-(IF(AND(Inputs!$E$24&gt;0,32=Inputs!$E$24),Inputs!$E$25,0)))),0)*Inputs!$E$28))))+(IF(AND(Inputs!$E$17&gt;0,32=Inputs!$E$17),Inputs!$E$18,0))))</f>
        <v/>
      </c>
      <c r="AM9" s="8">
        <f>AL9+(((((((((Inputs!$E$3*(1+Inputs!$E$4)^(33-1))*Inputs!$E$5)*Inputs!$E$6)+((Inputs!$E$7*(1+Inputs!$E$8)^(33-1))*Inputs!$E$9)+(Inputs!$E$11*(1+Inputs!$E$12)^(33-1))+(IF(33&lt;Inputs!$E$13,0,Inputs!$E$14*(1+Inputs!$E$15)^(33-Inputs!$E$13)*Inputs!$E$16))))-(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+(((Inputs!$E$7*(1+Inputs!$E$8)^(33-1))*Inputs!$E$10))+(((((((Inputs!$E$3*(1+Inputs!$E$4)^(33-1))*Inputs!$E$5)*Inputs!$E$6)+((Inputs!$E$7*(1+Inputs!$E$8)^(33-1))*Inputs!$E$9)+(Inputs!$E$11*(1+Inputs!$E$12)^(33-1))+(IF(33&lt;Inputs!$E$13,0,Inputs!$E$14*(1+Inputs!$E$15)^(33-Inputs!$E$13)*Inputs!$E$16))))*Inputs!$E$29))+((Inputs!$E$19+Inputs!$E$20+Inputs!$E$21+(Inputs!$E$22*$C9)+Inputs!$E$23))+(IF(AND(Inputs!$E$24&gt;0,33=Inputs!$E$24),Inputs!$E$25,0))+(MAX((((((((Inputs!$E$3*(1+Inputs!$E$4)^(33-1))*Inputs!$E$5)*Inputs!$E$6)+((Inputs!$E$7*(1+Inputs!$E$8)^(33-1))*Inputs!$E$9)+(Inputs!$E$11*(1+Inputs!$E$12)^(33-1))+(IF(33&lt;Inputs!$E$13,0,Inputs!$E$14*(1+Inputs!$E$15)^(33-Inputs!$E$13)*Inputs!$E$16))))-(((((((Inputs!$E$3*(1+Inputs!$E$4)^(33-1))*Inputs!$E$5)*Inputs!$E$6)+((Inputs!$E$7*(1+Inputs!$E$8)^(33-1))*Inputs!$E$9)+(Inputs!$E$11*(1+Inputs!$E$12)^(33-1))+(IF(33&lt;Inputs!$E$13,0,Inputs!$E$14*(1+Inputs!$E$15)^(33-Inputs!$E$13)*Inputs!$E$16))))*Inputs!$E$26+((((Inputs!$E$3*(1+Inputs!$E$4)^(33-1))*Inputs!$E$5)*Inputs!$E$6)+((Inputs!$E$7*(1+Inputs!$E$8)^(33-1))*Inputs!$E$9)+(IF(33&lt;Inputs!$E$13,0,Inputs!$E$14*(1+Inputs!$E$15)^(33-Inputs!$E$13)*Inputs!$E$16)))*Inputs!$E$27+(Inputs!$E$3*(1+Inputs!$E$4)^(33-1))*Inputs!$E$30))-(((Inputs!$E$7*(1+Inputs!$E$8)^(33-1))*Inputs!$E$10))-(((((((Inputs!$E$3*(1+Inputs!$E$4)^(33-1))*Inputs!$E$5)*Inputs!$E$6)+((Inputs!$E$7*(1+Inputs!$E$8)^(33-1))*Inputs!$E$9)+(Inputs!$E$11*(1+Inputs!$E$12)^(33-1))+(IF(33&lt;Inputs!$E$13,0,Inputs!$E$14*(1+Inputs!$E$15)^(33-Inputs!$E$13)*Inputs!$E$16))))*Inputs!$E$29))-((Inputs!$E$19+Inputs!$E$20+Inputs!$E$21+(Inputs!$E$22*$C9)+Inputs!$E$23))-(IF(AND(Inputs!$E$24&gt;0,33=Inputs!$E$24),Inputs!$E$25,0)))),0)*Inputs!$E$28))))+(IF(AND(Inputs!$E$17&gt;0,33=Inputs!$E$17),Inputs!$E$18,0))))</f>
        <v/>
      </c>
      <c r="AN9" s="8">
        <f>AM9+(((((((((Inputs!$E$3*(1+Inputs!$E$4)^(34-1))*Inputs!$E$5)*Inputs!$E$6)+((Inputs!$E$7*(1+Inputs!$E$8)^(34-1))*Inputs!$E$9)+(Inputs!$E$11*(1+Inputs!$E$12)^(34-1))+(IF(34&lt;Inputs!$E$13,0,Inputs!$E$14*(1+Inputs!$E$15)^(34-Inputs!$E$13)*Inputs!$E$16))))-(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+(((Inputs!$E$7*(1+Inputs!$E$8)^(34-1))*Inputs!$E$10))+(((((((Inputs!$E$3*(1+Inputs!$E$4)^(34-1))*Inputs!$E$5)*Inputs!$E$6)+((Inputs!$E$7*(1+Inputs!$E$8)^(34-1))*Inputs!$E$9)+(Inputs!$E$11*(1+Inputs!$E$12)^(34-1))+(IF(34&lt;Inputs!$E$13,0,Inputs!$E$14*(1+Inputs!$E$15)^(34-Inputs!$E$13)*Inputs!$E$16))))*Inputs!$E$29))+((Inputs!$E$19+Inputs!$E$20+Inputs!$E$21+(Inputs!$E$22*$C9)+Inputs!$E$23))+(IF(AND(Inputs!$E$24&gt;0,34=Inputs!$E$24),Inputs!$E$25,0))+(MAX((((((((Inputs!$E$3*(1+Inputs!$E$4)^(34-1))*Inputs!$E$5)*Inputs!$E$6)+((Inputs!$E$7*(1+Inputs!$E$8)^(34-1))*Inputs!$E$9)+(Inputs!$E$11*(1+Inputs!$E$12)^(34-1))+(IF(34&lt;Inputs!$E$13,0,Inputs!$E$14*(1+Inputs!$E$15)^(34-Inputs!$E$13)*Inputs!$E$16))))-(((((((Inputs!$E$3*(1+Inputs!$E$4)^(34-1))*Inputs!$E$5)*Inputs!$E$6)+((Inputs!$E$7*(1+Inputs!$E$8)^(34-1))*Inputs!$E$9)+(Inputs!$E$11*(1+Inputs!$E$12)^(34-1))+(IF(34&lt;Inputs!$E$13,0,Inputs!$E$14*(1+Inputs!$E$15)^(34-Inputs!$E$13)*Inputs!$E$16))))*Inputs!$E$26+((((Inputs!$E$3*(1+Inputs!$E$4)^(34-1))*Inputs!$E$5)*Inputs!$E$6)+((Inputs!$E$7*(1+Inputs!$E$8)^(34-1))*Inputs!$E$9)+(IF(34&lt;Inputs!$E$13,0,Inputs!$E$14*(1+Inputs!$E$15)^(34-Inputs!$E$13)*Inputs!$E$16)))*Inputs!$E$27+(Inputs!$E$3*(1+Inputs!$E$4)^(34-1))*Inputs!$E$30))-(((Inputs!$E$7*(1+Inputs!$E$8)^(34-1))*Inputs!$E$10))-(((((((Inputs!$E$3*(1+Inputs!$E$4)^(34-1))*Inputs!$E$5)*Inputs!$E$6)+((Inputs!$E$7*(1+Inputs!$E$8)^(34-1))*Inputs!$E$9)+(Inputs!$E$11*(1+Inputs!$E$12)^(34-1))+(IF(34&lt;Inputs!$E$13,0,Inputs!$E$14*(1+Inputs!$E$15)^(34-Inputs!$E$13)*Inputs!$E$16))))*Inputs!$E$29))-((Inputs!$E$19+Inputs!$E$20+Inputs!$E$21+(Inputs!$E$22*$C9)+Inputs!$E$23))-(IF(AND(Inputs!$E$24&gt;0,34=Inputs!$E$24),Inputs!$E$25,0)))),0)*Inputs!$E$28))))+(IF(AND(Inputs!$E$17&gt;0,34=Inputs!$E$17),Inputs!$E$18,0))))</f>
        <v/>
      </c>
      <c r="AO9" s="8">
        <f>AN9+(((((((((Inputs!$E$3*(1+Inputs!$E$4)^(35-1))*Inputs!$E$5)*Inputs!$E$6)+((Inputs!$E$7*(1+Inputs!$E$8)^(35-1))*Inputs!$E$9)+(Inputs!$E$11*(1+Inputs!$E$12)^(35-1))+(IF(35&lt;Inputs!$E$13,0,Inputs!$E$14*(1+Inputs!$E$15)^(35-Inputs!$E$13)*Inputs!$E$16))))-(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+(((Inputs!$E$7*(1+Inputs!$E$8)^(35-1))*Inputs!$E$10))+(((((((Inputs!$E$3*(1+Inputs!$E$4)^(35-1))*Inputs!$E$5)*Inputs!$E$6)+((Inputs!$E$7*(1+Inputs!$E$8)^(35-1))*Inputs!$E$9)+(Inputs!$E$11*(1+Inputs!$E$12)^(35-1))+(IF(35&lt;Inputs!$E$13,0,Inputs!$E$14*(1+Inputs!$E$15)^(35-Inputs!$E$13)*Inputs!$E$16))))*Inputs!$E$29))+((Inputs!$E$19+Inputs!$E$20+Inputs!$E$21+(Inputs!$E$22*$C9)+Inputs!$E$23))+(IF(AND(Inputs!$E$24&gt;0,35=Inputs!$E$24),Inputs!$E$25,0))+(MAX((((((((Inputs!$E$3*(1+Inputs!$E$4)^(35-1))*Inputs!$E$5)*Inputs!$E$6)+((Inputs!$E$7*(1+Inputs!$E$8)^(35-1))*Inputs!$E$9)+(Inputs!$E$11*(1+Inputs!$E$12)^(35-1))+(IF(35&lt;Inputs!$E$13,0,Inputs!$E$14*(1+Inputs!$E$15)^(35-Inputs!$E$13)*Inputs!$E$16))))-(((((((Inputs!$E$3*(1+Inputs!$E$4)^(35-1))*Inputs!$E$5)*Inputs!$E$6)+((Inputs!$E$7*(1+Inputs!$E$8)^(35-1))*Inputs!$E$9)+(Inputs!$E$11*(1+Inputs!$E$12)^(35-1))+(IF(35&lt;Inputs!$E$13,0,Inputs!$E$14*(1+Inputs!$E$15)^(35-Inputs!$E$13)*Inputs!$E$16))))*Inputs!$E$26+((((Inputs!$E$3*(1+Inputs!$E$4)^(35-1))*Inputs!$E$5)*Inputs!$E$6)+((Inputs!$E$7*(1+Inputs!$E$8)^(35-1))*Inputs!$E$9)+(IF(35&lt;Inputs!$E$13,0,Inputs!$E$14*(1+Inputs!$E$15)^(35-Inputs!$E$13)*Inputs!$E$16)))*Inputs!$E$27+(Inputs!$E$3*(1+Inputs!$E$4)^(35-1))*Inputs!$E$30))-(((Inputs!$E$7*(1+Inputs!$E$8)^(35-1))*Inputs!$E$10))-(((((((Inputs!$E$3*(1+Inputs!$E$4)^(35-1))*Inputs!$E$5)*Inputs!$E$6)+((Inputs!$E$7*(1+Inputs!$E$8)^(35-1))*Inputs!$E$9)+(Inputs!$E$11*(1+Inputs!$E$12)^(35-1))+(IF(35&lt;Inputs!$E$13,0,Inputs!$E$14*(1+Inputs!$E$15)^(35-Inputs!$E$13)*Inputs!$E$16))))*Inputs!$E$29))-((Inputs!$E$19+Inputs!$E$20+Inputs!$E$21+(Inputs!$E$22*$C9)+Inputs!$E$23))-(IF(AND(Inputs!$E$24&gt;0,35=Inputs!$E$24),Inputs!$E$25,0)))),0)*Inputs!$E$28))))+(IF(AND(Inputs!$E$17&gt;0,35=Inputs!$E$17),Inputs!$E$18,0))))</f>
        <v/>
      </c>
      <c r="AP9" s="8">
        <f>AO9+(((((((((Inputs!$E$3*(1+Inputs!$E$4)^(36-1))*Inputs!$E$5)*Inputs!$E$6)+((Inputs!$E$7*(1+Inputs!$E$8)^(36-1))*Inputs!$E$9)+(Inputs!$E$11*(1+Inputs!$E$12)^(36-1))+(IF(36&lt;Inputs!$E$13,0,Inputs!$E$14*(1+Inputs!$E$15)^(36-Inputs!$E$13)*Inputs!$E$16))))-(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+(((Inputs!$E$7*(1+Inputs!$E$8)^(36-1))*Inputs!$E$10))+(((((((Inputs!$E$3*(1+Inputs!$E$4)^(36-1))*Inputs!$E$5)*Inputs!$E$6)+((Inputs!$E$7*(1+Inputs!$E$8)^(36-1))*Inputs!$E$9)+(Inputs!$E$11*(1+Inputs!$E$12)^(36-1))+(IF(36&lt;Inputs!$E$13,0,Inputs!$E$14*(1+Inputs!$E$15)^(36-Inputs!$E$13)*Inputs!$E$16))))*Inputs!$E$29))+((Inputs!$E$19+Inputs!$E$20+Inputs!$E$21+(Inputs!$E$22*$C9)+Inputs!$E$23))+(IF(AND(Inputs!$E$24&gt;0,36=Inputs!$E$24),Inputs!$E$25,0))+(MAX((((((((Inputs!$E$3*(1+Inputs!$E$4)^(36-1))*Inputs!$E$5)*Inputs!$E$6)+((Inputs!$E$7*(1+Inputs!$E$8)^(36-1))*Inputs!$E$9)+(Inputs!$E$11*(1+Inputs!$E$12)^(36-1))+(IF(36&lt;Inputs!$E$13,0,Inputs!$E$14*(1+Inputs!$E$15)^(36-Inputs!$E$13)*Inputs!$E$16))))-(((((((Inputs!$E$3*(1+Inputs!$E$4)^(36-1))*Inputs!$E$5)*Inputs!$E$6)+((Inputs!$E$7*(1+Inputs!$E$8)^(36-1))*Inputs!$E$9)+(Inputs!$E$11*(1+Inputs!$E$12)^(36-1))+(IF(36&lt;Inputs!$E$13,0,Inputs!$E$14*(1+Inputs!$E$15)^(36-Inputs!$E$13)*Inputs!$E$16))))*Inputs!$E$26+((((Inputs!$E$3*(1+Inputs!$E$4)^(36-1))*Inputs!$E$5)*Inputs!$E$6)+((Inputs!$E$7*(1+Inputs!$E$8)^(36-1))*Inputs!$E$9)+(IF(36&lt;Inputs!$E$13,0,Inputs!$E$14*(1+Inputs!$E$15)^(36-Inputs!$E$13)*Inputs!$E$16)))*Inputs!$E$27+(Inputs!$E$3*(1+Inputs!$E$4)^(36-1))*Inputs!$E$30))-(((Inputs!$E$7*(1+Inputs!$E$8)^(36-1))*Inputs!$E$10))-(((((((Inputs!$E$3*(1+Inputs!$E$4)^(36-1))*Inputs!$E$5)*Inputs!$E$6)+((Inputs!$E$7*(1+Inputs!$E$8)^(36-1))*Inputs!$E$9)+(Inputs!$E$11*(1+Inputs!$E$12)^(36-1))+(IF(36&lt;Inputs!$E$13,0,Inputs!$E$14*(1+Inputs!$E$15)^(36-Inputs!$E$13)*Inputs!$E$16))))*Inputs!$E$29))-((Inputs!$E$19+Inputs!$E$20+Inputs!$E$21+(Inputs!$E$22*$C9)+Inputs!$E$23))-(IF(AND(Inputs!$E$24&gt;0,36=Inputs!$E$24),Inputs!$E$25,0)))),0)*Inputs!$E$28))))+(IF(AND(Inputs!$E$17&gt;0,36=Inputs!$E$17),Inputs!$E$18,0)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1" t="inlineStr">
        <is>
          <t>Metric</t>
        </is>
      </c>
      <c r="B1" s="11" t="inlineStr">
        <is>
          <t>Conservative</t>
        </is>
      </c>
      <c r="C1" s="11" t="inlineStr">
        <is>
          <t>Base</t>
        </is>
      </c>
      <c r="D1" s="11" t="inlineStr">
        <is>
          <t>Optimistic</t>
        </is>
      </c>
      <c r="E1" s="11" t="inlineStr">
        <is>
          <t>Notes</t>
        </is>
      </c>
    </row>
    <row r="2">
      <c r="A2" s="12" t="inlineStr">
        <is>
          <t>Ending cash after 36 months</t>
        </is>
      </c>
      <c r="B2" s="13">
        <f>'Monthly Model'!AL24</f>
        <v/>
      </c>
      <c r="C2" s="13">
        <f>'Monthly Model'!AL49</f>
        <v/>
      </c>
      <c r="D2" s="13">
        <f>'Monthly Model'!AL74</f>
        <v/>
      </c>
      <c r="E2" s="12" t="inlineStr">
        <is>
          <t>Formula-backed summary; formulas recalc when Inputs change.</t>
        </is>
      </c>
    </row>
    <row r="3">
      <c r="A3" s="12" t="inlineStr">
        <is>
          <t>Cash-out month</t>
        </is>
      </c>
      <c r="B3" s="13">
        <f>IFERROR(INDEX('Monthly Model'!$C$1:$AL$1,MATCH(TRUE,'Monthly Model'!$C$24:$AL$24&lt;0,0)),"No cash-out")</f>
        <v/>
      </c>
      <c r="C3" s="13">
        <f>IFERROR(INDEX('Monthly Model'!$C$1:$AL$1,MATCH(TRUE,'Monthly Model'!$C$49:$AL$49&lt;0,0)),"No cash-out")</f>
        <v/>
      </c>
      <c r="D3" s="13">
        <f>IFERROR(INDEX('Monthly Model'!$C$1:$AL$1,MATCH(TRUE,'Monthly Model'!$C$74:$AL$74&lt;0,0)),"No cash-out")</f>
        <v/>
      </c>
      <c r="E3" s="12" t="inlineStr">
        <is>
          <t>Formula-backed summary; formulas recalc when Inputs change.</t>
        </is>
      </c>
    </row>
    <row r="4">
      <c r="A4" s="12" t="inlineStr">
        <is>
          <t>Operating break-even month</t>
        </is>
      </c>
      <c r="B4" s="13">
        <f>IFERROR(INDEX('Monthly Model'!$C$1:$AL$1,MATCH(TRUE,'Monthly Model'!$C$22:$AL$22&gt;=0,0)),"Not in 36 mo")</f>
        <v/>
      </c>
      <c r="C4" s="13">
        <f>IFERROR(INDEX('Monthly Model'!$C$1:$AL$1,MATCH(TRUE,'Monthly Model'!$C$47:$AL$47&gt;=0,0)),"Not in 36 mo")</f>
        <v/>
      </c>
      <c r="D4" s="13">
        <f>IFERROR(INDEX('Monthly Model'!$C$1:$AL$1,MATCH(TRUE,'Monthly Model'!$C$72:$AL$72&gt;=0,0)),"Not in 36 mo")</f>
        <v/>
      </c>
      <c r="E4" s="12" t="inlineStr">
        <is>
          <t>Formula-backed summary; formulas recalc when Inputs change.</t>
        </is>
      </c>
    </row>
    <row r="5">
      <c r="A5" s="12" t="inlineStr">
        <is>
          <t>Self-sustainability month (3 consecutive positive operating months)</t>
        </is>
      </c>
      <c r="B5" s="13">
        <f>IFERROR(INDEX('Monthly Model'!$C$1:$AJ$1,MATCH(TRUE,('Monthly Model'!$C$22:$AJ$22&gt;=0)*('Monthly Model'!$D$22:$AK$22&gt;=0)*('Monthly Model'!$E$22:$AL$22&gt;=0)=1,0)),"Not in 36 mo")</f>
        <v/>
      </c>
      <c r="C5" s="13">
        <f>IFERROR(INDEX('Monthly Model'!$C$1:$AJ$1,MATCH(TRUE,('Monthly Model'!$C$47:$AJ$47&gt;=0)*('Monthly Model'!$D$47:$AK$47&gt;=0)*('Monthly Model'!$E$47:$AL$47&gt;=0)=1,0)),"Not in 36 mo")</f>
        <v/>
      </c>
      <c r="D5" s="13">
        <f>IFERROR(INDEX('Monthly Model'!$C$1:$AJ$1,MATCH(TRUE,('Monthly Model'!$C$72:$AJ$72&gt;=0)*('Monthly Model'!$D$72:$AK$72&gt;=0)*('Monthly Model'!$E$72:$AL$72&gt;=0)=1,0)),"Not in 36 mo")</f>
        <v/>
      </c>
      <c r="E5" s="12" t="inlineStr">
        <is>
          <t>Formula-backed summary; formulas recalc when Inputs change.</t>
        </is>
      </c>
    </row>
    <row r="6">
      <c r="A6" s="12" t="inlineStr">
        <is>
          <t>Month 36 operating revenue</t>
        </is>
      </c>
      <c r="B6" s="13">
        <f>'Monthly Model'!AL9</f>
        <v/>
      </c>
      <c r="C6" s="13">
        <f>'Monthly Model'!AL34</f>
        <v/>
      </c>
      <c r="D6" s="13">
        <f>'Monthly Model'!AL59</f>
        <v/>
      </c>
      <c r="E6" s="12" t="inlineStr">
        <is>
          <t>Formula-backed summary; formulas recalc when Inputs change.</t>
        </is>
      </c>
    </row>
    <row r="7">
      <c r="A7" s="12" t="inlineStr">
        <is>
          <t>Month 36 operating net cash flow</t>
        </is>
      </c>
      <c r="B7" s="13">
        <f>'Monthly Model'!AL22</f>
        <v/>
      </c>
      <c r="C7" s="13">
        <f>'Monthly Model'!AL47</f>
        <v/>
      </c>
      <c r="D7" s="13">
        <f>'Monthly Model'!AL72</f>
        <v/>
      </c>
      <c r="E7" s="12" t="inlineStr">
        <is>
          <t>Formula-backed summary; formulas recalc when Inputs change.</t>
        </is>
      </c>
    </row>
    <row r="8">
      <c r="A8" s="12" t="n"/>
      <c r="B8" s="12" t="n"/>
      <c r="C8" s="12" t="n"/>
      <c r="D8" s="12" t="n"/>
      <c r="E8" s="12" t="n"/>
    </row>
    <row r="9">
      <c r="A9" s="12" t="n"/>
      <c r="B9" s="12" t="n"/>
      <c r="C9" s="12" t="n"/>
      <c r="D9" s="12" t="n"/>
      <c r="E9" s="12" t="n"/>
    </row>
    <row r="10">
      <c r="A10" s="14" t="inlineStr">
        <is>
          <t>Static preview from generation run</t>
        </is>
      </c>
      <c r="B10" s="14" t="inlineStr">
        <is>
          <t>Conservative</t>
        </is>
      </c>
      <c r="C10" s="14" t="inlineStr">
        <is>
          <t>Base</t>
        </is>
      </c>
      <c r="D10" s="14" t="inlineStr">
        <is>
          <t>Optimistic</t>
        </is>
      </c>
      <c r="E10" s="12" t="n"/>
    </row>
    <row r="11">
      <c r="A11" s="12" t="inlineStr">
        <is>
          <t>Generated ending cash</t>
        </is>
      </c>
      <c r="B11" s="12" t="n">
        <v>11056.5968423069</v>
      </c>
      <c r="C11" s="12" t="n">
        <v>304041.2517650718</v>
      </c>
      <c r="D11" s="12" t="n">
        <v>2993518.672889813</v>
      </c>
      <c r="E11" s="12" t="n"/>
    </row>
    <row r="12">
      <c r="A12" s="12" t="inlineStr">
        <is>
          <t>Generated cash-out month</t>
        </is>
      </c>
      <c r="B12" s="12" t="n">
        <v>13</v>
      </c>
      <c r="C12" s="12" t="inlineStr">
        <is>
          <t>No cash-out</t>
        </is>
      </c>
      <c r="D12" s="12" t="inlineStr">
        <is>
          <t>No cash-out</t>
        </is>
      </c>
      <c r="E12" s="12" t="n"/>
    </row>
    <row r="13">
      <c r="A13" s="12" t="inlineStr">
        <is>
          <t>Generated break-even month</t>
        </is>
      </c>
      <c r="B13" s="12" t="n">
        <v>19</v>
      </c>
      <c r="C13" s="12" t="n">
        <v>9</v>
      </c>
      <c r="D13" s="12" t="n">
        <v>3</v>
      </c>
      <c r="E13" s="12" t="n"/>
    </row>
    <row r="14">
      <c r="A14" s="12" t="inlineStr">
        <is>
          <t>Generated self-sustainability month</t>
        </is>
      </c>
      <c r="B14" s="12" t="n">
        <v>19</v>
      </c>
      <c r="C14" s="12" t="n">
        <v>9</v>
      </c>
      <c r="D14" s="12" t="n">
        <v>3</v>
      </c>
      <c r="E14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92" customWidth="1" min="3" max="3"/>
  </cols>
  <sheetData>
    <row r="1">
      <c r="A1" s="11" t="inlineStr">
        <is>
          <t>Source</t>
        </is>
      </c>
      <c r="B1" s="11" t="inlineStr">
        <is>
          <t>Used for</t>
        </is>
      </c>
      <c r="C1" s="11" t="inlineStr">
        <is>
          <t>Notes</t>
        </is>
      </c>
    </row>
    <row r="2">
      <c r="A2" s="12" t="inlineStr">
        <is>
          <t>docs/architecture.md</t>
        </is>
      </c>
      <c r="B2" s="12" t="inlineStr">
        <is>
          <t>Cost buildup categories</t>
        </is>
      </c>
      <c r="C2" s="12" t="inlineStr">
        <is>
          <t>Frontend Cloudflare Pages, FastAPI API, Postgres, Square, Cloudflare tunnel/CDN, monitoring.</t>
        </is>
      </c>
    </row>
    <row r="3">
      <c r="A3" s="12" t="inlineStr">
        <is>
          <t>docs/dao-architecture-plan.md</t>
        </is>
      </c>
      <c r="B3" s="12" t="inlineStr">
        <is>
          <t>DAO/funding/merch/legal/security milestones</t>
        </is>
      </c>
      <c r="C3" s="12" t="inlineStr">
        <is>
          <t>Four tracks, resource requirements, milestones, impact metrics.</t>
        </is>
      </c>
    </row>
    <row r="4">
      <c r="A4" s="12" t="inlineStr">
        <is>
          <t>docs/strategy/growth-playbook.md</t>
        </is>
      </c>
      <c r="B4" s="12" t="inlineStr">
        <is>
          <t>Community/event/partnership revenue trajectory</t>
        </is>
      </c>
      <c r="C4" s="12" t="inlineStr">
        <is>
          <t>14-day launch and recurring community partnership playbook.</t>
        </is>
      </c>
    </row>
    <row r="5">
      <c r="A5" s="12" t="inlineStr">
        <is>
          <t>paperclip/agents/cmo-marketing.md</t>
        </is>
      </c>
      <c r="B5" s="12" t="inlineStr">
        <is>
          <t>Automation/services monetization path</t>
        </is>
      </c>
      <c r="C5" s="12" t="inlineStr">
        <is>
          <t>Proposal, cold email, follow-up formats for paid service offers.</t>
        </is>
      </c>
    </row>
    <row r="6">
      <c r="A6" s="12" t="inlineStr">
        <is>
          <t>AGENTS.md and agent.md</t>
        </is>
      </c>
      <c r="B6" s="12" t="inlineStr">
        <is>
          <t>Customer-facing product revenue boundaries</t>
        </is>
      </c>
      <c r="C6" s="12" t="inlineStr">
        <is>
          <t>Membership, verification, support, safety, uptime, matching quality, access, pricing.</t>
        </is>
      </c>
    </row>
    <row r="7">
      <c r="A7" s="12" t="inlineStr">
        <is>
          <t>hermes.md</t>
        </is>
      </c>
      <c r="B7" s="12" t="inlineStr">
        <is>
          <t>AI/router cost posture</t>
        </is>
      </c>
      <c r="C7" s="12" t="inlineStr">
        <is>
          <t>Free-first adapter stack; paid bucket/tooling as budgeted support not Anthropic API.</t>
        </is>
      </c>
    </row>
    <row r="8">
      <c r="A8" s="12" t="inlineStr">
        <is>
          <t>External web lookup</t>
        </is>
      </c>
      <c r="B8" s="12" t="inlineStr">
        <is>
          <t>Pricing citations</t>
        </is>
      </c>
      <c r="C8" s="12" t="inlineStr">
        <is>
          <t>Web search unavailable in this Hermes session (missing Firecrawl config), so external provider prices are editable assumptions and should be validated before external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2026-06-27T21:54:01Z</dcterms:created>
  <dcterms:modified xsi:type="dcterms:W3CDTF">2026-06-27T21:54:02Z</dcterms:modified>
</cp:coreProperties>
</file>